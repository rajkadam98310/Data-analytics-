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Pivot – Category" sheetId="2" state="visible" r:id="rId4"/>
    <sheet name="Pivot – Monthly" sheetId="3" state="visible" r:id="rId5"/>
    <sheet name="Conditional Formatting" sheetId="4" state="visible" r:id="rId6"/>
    <sheet name="Key Formulas" sheetId="5" state="visible" r:id="rId7"/>
    <sheet name="Dashboard" sheetId="6" state="visible" r:id="rId8"/>
    <sheet name="README – 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<sst xmlns="http://schemas.openxmlformats.org/spreadsheetml/2006/main" count="500" uniqueCount="362">
  <si>
    <t xml:space="preserve">🛒  Sales Data – Indian Online Store  (Jan–Jun 2024)</t>
  </si>
  <si>
    <t xml:space="preserve">Order ID</t>
  </si>
  <si>
    <t xml:space="preserve">Date</t>
  </si>
  <si>
    <t xml:space="preserve">Customer Name</t>
  </si>
  <si>
    <t xml:space="preserve">City</t>
  </si>
  <si>
    <t xml:space="preserve">State</t>
  </si>
  <si>
    <t xml:space="preserve">Category</t>
  </si>
  <si>
    <t xml:space="preserve">Product</t>
  </si>
  <si>
    <t xml:space="preserve">Units Sold</t>
  </si>
  <si>
    <t xml:space="preserve">Unit Price (₹)</t>
  </si>
  <si>
    <t xml:space="preserve">Total Revenue (₹)</t>
  </si>
  <si>
    <t xml:space="preserve">Profit (₹)</t>
  </si>
  <si>
    <t xml:space="preserve">Status</t>
  </si>
  <si>
    <t xml:space="preserve">ORD-001</t>
  </si>
  <si>
    <t xml:space="preserve">2024-01-05</t>
  </si>
  <si>
    <t xml:space="preserve">Arjun Sharma</t>
  </si>
  <si>
    <t xml:space="preserve">Mumbai</t>
  </si>
  <si>
    <t xml:space="preserve">Maharashtra</t>
  </si>
  <si>
    <t xml:space="preserve">Electronics</t>
  </si>
  <si>
    <t xml:space="preserve">Smartphone</t>
  </si>
  <si>
    <t xml:space="preserve">Delivered</t>
  </si>
  <si>
    <t xml:space="preserve">ORD-002</t>
  </si>
  <si>
    <t xml:space="preserve">2024-01-10</t>
  </si>
  <si>
    <t xml:space="preserve">Priya Patel</t>
  </si>
  <si>
    <t xml:space="preserve">Ahmedabad</t>
  </si>
  <si>
    <t xml:space="preserve">Gujarat</t>
  </si>
  <si>
    <t xml:space="preserve">Clothing</t>
  </si>
  <si>
    <t xml:space="preserve">Kurta Set</t>
  </si>
  <si>
    <t xml:space="preserve">ORD-003</t>
  </si>
  <si>
    <t xml:space="preserve">2024-01-15</t>
  </si>
  <si>
    <t xml:space="preserve">Rahul Verma</t>
  </si>
  <si>
    <t xml:space="preserve">Delhi</t>
  </si>
  <si>
    <t xml:space="preserve">Laptop</t>
  </si>
  <si>
    <t xml:space="preserve">ORD-004</t>
  </si>
  <si>
    <t xml:space="preserve">2024-01-20</t>
  </si>
  <si>
    <t xml:space="preserve">Sunita Reddy</t>
  </si>
  <si>
    <t xml:space="preserve">Hyderabad</t>
  </si>
  <si>
    <t xml:space="preserve">Telangana</t>
  </si>
  <si>
    <t xml:space="preserve">Home &amp; Kitchen</t>
  </si>
  <si>
    <t xml:space="preserve">Pressure Cooker</t>
  </si>
  <si>
    <t xml:space="preserve">ORD-005</t>
  </si>
  <si>
    <t xml:space="preserve">2024-01-25</t>
  </si>
  <si>
    <t xml:space="preserve">Amit Gupta</t>
  </si>
  <si>
    <t xml:space="preserve">Kolkata</t>
  </si>
  <si>
    <t xml:space="preserve">West Bengal</t>
  </si>
  <si>
    <t xml:space="preserve">Books</t>
  </si>
  <si>
    <t xml:space="preserve">Python Programming</t>
  </si>
  <si>
    <t xml:space="preserve">ORD-006</t>
  </si>
  <si>
    <t xml:space="preserve">2024-02-03</t>
  </si>
  <si>
    <t xml:space="preserve">Deepika Singh</t>
  </si>
  <si>
    <t xml:space="preserve">Bangalore</t>
  </si>
  <si>
    <t xml:space="preserve">Karnataka</t>
  </si>
  <si>
    <t xml:space="preserve">Earphones</t>
  </si>
  <si>
    <t xml:space="preserve">ORD-007</t>
  </si>
  <si>
    <t xml:space="preserve">2024-02-08</t>
  </si>
  <si>
    <t xml:space="preserve">Vikram Nair</t>
  </si>
  <si>
    <t xml:space="preserve">Chennai</t>
  </si>
  <si>
    <t xml:space="preserve">Tamil Nadu</t>
  </si>
  <si>
    <t xml:space="preserve">Saree</t>
  </si>
  <si>
    <t xml:space="preserve">ORD-008</t>
  </si>
  <si>
    <t xml:space="preserve">2024-02-14</t>
  </si>
  <si>
    <t xml:space="preserve">Kavitha Menon</t>
  </si>
  <si>
    <t xml:space="preserve">Kochi</t>
  </si>
  <si>
    <t xml:space="preserve">Kerala</t>
  </si>
  <si>
    <t xml:space="preserve">Beauty</t>
  </si>
  <si>
    <t xml:space="preserve">Face Cream</t>
  </si>
  <si>
    <t xml:space="preserve">Cancelled</t>
  </si>
  <si>
    <t xml:space="preserve">ORD-009</t>
  </si>
  <si>
    <t xml:space="preserve">2024-02-19</t>
  </si>
  <si>
    <t xml:space="preserve">Rohit Joshi</t>
  </si>
  <si>
    <t xml:space="preserve">Pune</t>
  </si>
  <si>
    <t xml:space="preserve">Smart Watch</t>
  </si>
  <si>
    <t xml:space="preserve">ORD-010</t>
  </si>
  <si>
    <t xml:space="preserve">2024-02-25</t>
  </si>
  <si>
    <t xml:space="preserve">Meena Iyer</t>
  </si>
  <si>
    <t xml:space="preserve">Mysore</t>
  </si>
  <si>
    <t xml:space="preserve">Data Science Guide</t>
  </si>
  <si>
    <t xml:space="preserve">ORD-011</t>
  </si>
  <si>
    <t xml:space="preserve">2024-03-02</t>
  </si>
  <si>
    <t xml:space="preserve">Suresh Kumar</t>
  </si>
  <si>
    <t xml:space="preserve">Jaipur</t>
  </si>
  <si>
    <t xml:space="preserve">Rajasthan</t>
  </si>
  <si>
    <t xml:space="preserve">Air Fryer</t>
  </si>
  <si>
    <t xml:space="preserve">ORD-012</t>
  </si>
  <si>
    <t xml:space="preserve">2024-03-09</t>
  </si>
  <si>
    <t xml:space="preserve">Ananya Das</t>
  </si>
  <si>
    <t xml:space="preserve">Lehenga</t>
  </si>
  <si>
    <t xml:space="preserve">ORD-013</t>
  </si>
  <si>
    <t xml:space="preserve">2024-03-15</t>
  </si>
  <si>
    <t xml:space="preserve">Kiran Rao</t>
  </si>
  <si>
    <t xml:space="preserve">Tablet</t>
  </si>
  <si>
    <t xml:space="preserve">Returned</t>
  </si>
  <si>
    <t xml:space="preserve">ORD-014</t>
  </si>
  <si>
    <t xml:space="preserve">2024-03-22</t>
  </si>
  <si>
    <t xml:space="preserve">Pooja Mishra</t>
  </si>
  <si>
    <t xml:space="preserve">Lucknow</t>
  </si>
  <si>
    <t xml:space="preserve">Uttar Pradesh</t>
  </si>
  <si>
    <t xml:space="preserve">Lipstick Set</t>
  </si>
  <si>
    <t xml:space="preserve">ORD-015</t>
  </si>
  <si>
    <t xml:space="preserve">2024-03-28</t>
  </si>
  <si>
    <t xml:space="preserve">Naveen Pillai</t>
  </si>
  <si>
    <t xml:space="preserve">Thiruvananthapuram</t>
  </si>
  <si>
    <t xml:space="preserve">Excel for Beginners</t>
  </si>
  <si>
    <t xml:space="preserve">ORD-016</t>
  </si>
  <si>
    <t xml:space="preserve">2024-04-04</t>
  </si>
  <si>
    <t xml:space="preserve">Shreya Bansal</t>
  </si>
  <si>
    <t xml:space="preserve">Bluetooth Speaker</t>
  </si>
  <si>
    <t xml:space="preserve">ORD-017</t>
  </si>
  <si>
    <t xml:space="preserve">2024-04-10</t>
  </si>
  <si>
    <t xml:space="preserve">Arun Chandra</t>
  </si>
  <si>
    <t xml:space="preserve">Coimbatore</t>
  </si>
  <si>
    <t xml:space="preserve">Mixer Grinder</t>
  </si>
  <si>
    <t xml:space="preserve">ORD-018</t>
  </si>
  <si>
    <t xml:space="preserve">2024-04-18</t>
  </si>
  <si>
    <t xml:space="preserve">Ritu Agarwal</t>
  </si>
  <si>
    <t xml:space="preserve">Agra</t>
  </si>
  <si>
    <t xml:space="preserve">Ethnic Wear</t>
  </si>
  <si>
    <t xml:space="preserve">ORD-019</t>
  </si>
  <si>
    <t xml:space="preserve">2024-04-24</t>
  </si>
  <si>
    <t xml:space="preserve">Manish Tiwari</t>
  </si>
  <si>
    <t xml:space="preserve">Bhopal</t>
  </si>
  <si>
    <t xml:space="preserve">Madhya Pradesh</t>
  </si>
  <si>
    <t xml:space="preserve">Power Bank</t>
  </si>
  <si>
    <t xml:space="preserve">ORD-020</t>
  </si>
  <si>
    <t xml:space="preserve">2024-04-30</t>
  </si>
  <si>
    <t xml:space="preserve">Lakshmi Nair</t>
  </si>
  <si>
    <t xml:space="preserve">Skincare Kit</t>
  </si>
  <si>
    <t xml:space="preserve">ORD-021</t>
  </si>
  <si>
    <t xml:space="preserve">2024-05-06</t>
  </si>
  <si>
    <t xml:space="preserve">Ajay Pandey</t>
  </si>
  <si>
    <t xml:space="preserve">Patna</t>
  </si>
  <si>
    <t xml:space="preserve">Bihar</t>
  </si>
  <si>
    <t xml:space="preserve">SQL Handbook</t>
  </si>
  <si>
    <t xml:space="preserve">ORD-022</t>
  </si>
  <si>
    <t xml:space="preserve">2024-05-12</t>
  </si>
  <si>
    <t xml:space="preserve">Geeta Sharma</t>
  </si>
  <si>
    <t xml:space="preserve">Chandigarh</t>
  </si>
  <si>
    <t xml:space="preserve">Punjab</t>
  </si>
  <si>
    <t xml:space="preserve">Punjabi Suit</t>
  </si>
  <si>
    <t xml:space="preserve">ORD-023</t>
  </si>
  <si>
    <t xml:space="preserve">2024-05-19</t>
  </si>
  <si>
    <t xml:space="preserve">Dinesh Yadav</t>
  </si>
  <si>
    <t xml:space="preserve">Varanasi</t>
  </si>
  <si>
    <t xml:space="preserve">Water Purifier</t>
  </si>
  <si>
    <t xml:space="preserve">ORD-024</t>
  </si>
  <si>
    <t xml:space="preserve">2024-05-25</t>
  </si>
  <si>
    <t xml:space="preserve">Smita Kulkarni</t>
  </si>
  <si>
    <t xml:space="preserve">Nagpur</t>
  </si>
  <si>
    <t xml:space="preserve">Gaming Mouse</t>
  </si>
  <si>
    <t xml:space="preserve">ORD-025</t>
  </si>
  <si>
    <t xml:space="preserve">2024-06-01</t>
  </si>
  <si>
    <t xml:space="preserve">Harish Gowda</t>
  </si>
  <si>
    <t xml:space="preserve">Hair Care Set</t>
  </si>
  <si>
    <t xml:space="preserve">ORD-026</t>
  </si>
  <si>
    <t xml:space="preserve">2024-06-07</t>
  </si>
  <si>
    <t xml:space="preserve">Nisha Kapoor</t>
  </si>
  <si>
    <t xml:space="preserve">ORD-027</t>
  </si>
  <si>
    <t xml:space="preserve">2024-06-13</t>
  </si>
  <si>
    <t xml:space="preserve">Sunil Mehta</t>
  </si>
  <si>
    <t xml:space="preserve">Surat</t>
  </si>
  <si>
    <t xml:space="preserve">Smart TV</t>
  </si>
  <si>
    <t xml:space="preserve">ORD-028</t>
  </si>
  <si>
    <t xml:space="preserve">2024-06-19</t>
  </si>
  <si>
    <t xml:space="preserve">Rekha Tiwari</t>
  </si>
  <si>
    <t xml:space="preserve">Indore</t>
  </si>
  <si>
    <t xml:space="preserve">Induction Cooker</t>
  </si>
  <si>
    <t xml:space="preserve">ORD-029</t>
  </si>
  <si>
    <t xml:space="preserve">2024-06-25</t>
  </si>
  <si>
    <t xml:space="preserve">Balaji Subramaniam</t>
  </si>
  <si>
    <t xml:space="preserve">Machine Learning</t>
  </si>
  <si>
    <t xml:space="preserve">ORD-030</t>
  </si>
  <si>
    <t xml:space="preserve">2024-06-30</t>
  </si>
  <si>
    <t xml:space="preserve">Parveen Kaur</t>
  </si>
  <si>
    <t xml:space="preserve">Amritsar</t>
  </si>
  <si>
    <t xml:space="preserve">Salwar Kameez</t>
  </si>
  <si>
    <t xml:space="preserve">TOTAL</t>
  </si>
  <si>
    <t xml:space="preserve">📊  Pivot Table – Revenue &amp; Profit by Category</t>
  </si>
  <si>
    <t xml:space="preserve">Total Units</t>
  </si>
  <si>
    <t xml:space="preserve">Total Profit (₹)</t>
  </si>
  <si>
    <t xml:space="preserve">Profit Margin %</t>
  </si>
  <si>
    <t xml:space="preserve">Performance</t>
  </si>
  <si>
    <t xml:space="preserve">🌟 Excellent</t>
  </si>
  <si>
    <t xml:space="preserve">✅ Good</t>
  </si>
  <si>
    <t xml:space="preserve">📈 Average</t>
  </si>
  <si>
    <t xml:space="preserve">GRAND TOTAL</t>
  </si>
  <si>
    <t xml:space="preserve">🏆 Overall</t>
  </si>
  <si>
    <t xml:space="preserve">💡 Insight: Books &amp; Beauty have the highest profit margins. Electronics drives the most revenue.</t>
  </si>
  <si>
    <t xml:space="preserve">📅  Monthly Sales Trend – Jan to Jun 2024</t>
  </si>
  <si>
    <t xml:space="preserve">Month</t>
  </si>
  <si>
    <t xml:space="preserve">Orders</t>
  </si>
  <si>
    <t xml:space="preserve">Revenue (₹)</t>
  </si>
  <si>
    <t xml:space="preserve">Growth %</t>
  </si>
  <si>
    <t xml:space="preserve">January 2024</t>
  </si>
  <si>
    <t xml:space="preserve">-</t>
  </si>
  <si>
    <t xml:space="preserve">February 2024</t>
  </si>
  <si>
    <t xml:space="preserve">March 2024</t>
  </si>
  <si>
    <t xml:space="preserve">April 2024</t>
  </si>
  <si>
    <t xml:space="preserve">May 2024</t>
  </si>
  <si>
    <t xml:space="preserve">June 2024</t>
  </si>
  <si>
    <t xml:space="preserve">HALF YEAR TOTAL</t>
  </si>
  <si>
    <t xml:space="preserve">6 Months</t>
  </si>
  <si>
    <t xml:space="preserve">💡 Insight: January had the highest revenue. May is the lowest – good time for discount campaigns!</t>
  </si>
  <si>
    <t xml:space="preserve">🎨  Conditional Formatting Examples – Learn with Indian Data</t>
  </si>
  <si>
    <t xml:space="preserve">Example 1 – Traffic Light KPI: Student Exam Scores (Pass / Average / Fail)</t>
  </si>
  <si>
    <t xml:space="preserve">Student Name</t>
  </si>
  <si>
    <t xml:space="preserve">Math</t>
  </si>
  <si>
    <t xml:space="preserve">Science</t>
  </si>
  <si>
    <t xml:space="preserve">English</t>
  </si>
  <si>
    <t xml:space="preserve">Average Score</t>
  </si>
  <si>
    <t xml:space="preserve">Aarav Sharma</t>
  </si>
  <si>
    <t xml:space="preserve">Divya Iyer</t>
  </si>
  <si>
    <t xml:space="preserve">Rohan Verma</t>
  </si>
  <si>
    <t xml:space="preserve">Sneha Patel</t>
  </si>
  <si>
    <t xml:space="preserve">Kiran Reddy</t>
  </si>
  <si>
    <t xml:space="preserve">Ishaan Gupta</t>
  </si>
  <si>
    <t xml:space="preserve">Priya Nair</t>
  </si>
  <si>
    <t xml:space="preserve">Rahul Joshi</t>
  </si>
  <si>
    <t xml:space="preserve">🟢 Green = Pass (≥75)    🟡 Yellow = Average (50–74)    🔴 Red = Fail (&lt;50)</t>
  </si>
  <si>
    <t xml:space="preserve">Example 2 – Color Scale: Monthly Product Sales (heat map view)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</si>
  <si>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</si>
  <si>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</si>
  <si>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</si>
  <si>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</si>
  <si>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</si>
  <si>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Bluetooth Spk</t>
  </si>
  <si>
    <t xml:space="preserve">🔥 Darker orange = Higher sales | Use this to spot bestsellers at a glance!</t>
  </si>
  <si>
    <t xml:space="preserve">📚  Key Excel Formulas for Data Analysis (Beginner Friendly)</t>
  </si>
  <si>
    <t xml:space="preserve">Formula Name</t>
  </si>
  <si>
    <t xml:space="preserve">Syntax</t>
  </si>
  <si>
    <t xml:space="preserve">What It Does</t>
  </si>
  <si>
    <t xml:space="preserve">Real Example</t>
  </si>
  <si>
    <t xml:space="preserve">Result Type</t>
  </si>
  <si>
    <t xml:space="preserve">SUM</t>
  </si>
  <si>
    <t xml:space="preserve">SUM(A1:A10)</t>
  </si>
  <si>
    <t xml:space="preserve">Adds all values in a range</t>
  </si>
  <si>
    <t xml:space="preserve">SUM(J3:J32)  →  Total Revenue</t>
  </si>
  <si>
    <t xml:space="preserve">Number</t>
  </si>
  <si>
    <t xml:space="preserve">AVERAGE</t>
  </si>
  <si>
    <t xml:space="preserve">AVERAGE(A1:A10)</t>
  </si>
  <si>
    <t xml:space="preserve">Finds the mean value</t>
  </si>
  <si>
    <t xml:space="preserve">AVERAGE(K3:K32)  →  Avg Profit</t>
  </si>
  <si>
    <t xml:space="preserve">COUNT</t>
  </si>
  <si>
    <t xml:space="preserve">COUNT(A1:A10)</t>
  </si>
  <si>
    <t xml:space="preserve">Counts numeric cells</t>
  </si>
  <si>
    <t xml:space="preserve">COUNT(H3:H32)  →  No. of orders</t>
  </si>
  <si>
    <t xml:space="preserve">COUNTA</t>
  </si>
  <si>
    <t xml:space="preserve">COUNTA(A1:A10)</t>
  </si>
  <si>
    <t xml:space="preserve">Counts non-empty cells</t>
  </si>
  <si>
    <t xml:space="preserve">COUNTA(A3:A32)  →  Total records</t>
  </si>
  <si>
    <t xml:space="preserve">MAX</t>
  </si>
  <si>
    <t xml:space="preserve">MAX(A1:A10)</t>
  </si>
  <si>
    <t xml:space="preserve">Finds the highest value</t>
  </si>
  <si>
    <t xml:space="preserve">MAX(J3:J32)  →  Highest sale</t>
  </si>
  <si>
    <t xml:space="preserve">MIN</t>
  </si>
  <si>
    <t xml:space="preserve">MIN(A1:A10)</t>
  </si>
  <si>
    <t xml:space="preserve">Finds the lowest value</t>
  </si>
  <si>
    <t xml:space="preserve">MIN(J3:J32)  →  Lowest sale</t>
  </si>
  <si>
    <t xml:space="preserve">IF</t>
  </si>
  <si>
    <t xml:space="preserve">IF(A1&gt;100, "High", "Low")</t>
  </si>
  <si>
    <t xml:space="preserve">Condition: true/false result</t>
  </si>
  <si>
    <t xml:space="preserve">IF(K3&gt;5000, "High", "Low")  →  profit tag</t>
  </si>
  <si>
    <t xml:space="preserve">Text/Number</t>
  </si>
  <si>
    <t xml:space="preserve">SUMIF</t>
  </si>
  <si>
    <t xml:space="preserve">SUMIF(B:B, "Electronics", C:C)</t>
  </si>
  <si>
    <t xml:space="preserve">Sum cells matching a condition</t>
  </si>
  <si>
    <t xml:space="preserve">SUMIF(F:F, "Electronics", J:J)</t>
  </si>
  <si>
    <t xml:space="preserve">COUNTIF</t>
  </si>
  <si>
    <t xml:space="preserve">COUNTIF(A:A, "Delivered")</t>
  </si>
  <si>
    <t xml:space="preserve">Count cells matching a condition</t>
  </si>
  <si>
    <t xml:space="preserve">COUNTIF(L:L, "Delivered")</t>
  </si>
  <si>
    <t xml:space="preserve">VLOOKUP</t>
  </si>
  <si>
    <t xml:space="preserve">VLOOKUP(x, table, col, 0)</t>
  </si>
  <si>
    <t xml:space="preserve">Look up value in a table</t>
  </si>
  <si>
    <t xml:space="preserve">VLOOKUP("ORD-005", A:K, 10, 0)</t>
  </si>
  <si>
    <t xml:space="preserve">Any</t>
  </si>
  <si>
    <t xml:space="preserve">TEXT</t>
  </si>
  <si>
    <t xml:space="preserve">TEXT(A1, "DD-MMM-YYYY")</t>
  </si>
  <si>
    <t xml:space="preserve">Format numbers/dates as text</t>
  </si>
  <si>
    <t xml:space="preserve">TEXT(B3, "MMM YYYY")  →  Jan 2024</t>
  </si>
  <si>
    <t xml:space="preserve">Text</t>
  </si>
  <si>
    <t xml:space="preserve">LEN</t>
  </si>
  <si>
    <t xml:space="preserve">LEN(A1)</t>
  </si>
  <si>
    <t xml:space="preserve">Count characters in a cell</t>
  </si>
  <si>
    <t xml:space="preserve">LEN("Arjun Sharma")  →  12</t>
  </si>
  <si>
    <t xml:space="preserve">TRIM</t>
  </si>
  <si>
    <t xml:space="preserve">TRIM(A1)</t>
  </si>
  <si>
    <t xml:space="preserve">Remove extra spaces</t>
  </si>
  <si>
    <t xml:space="preserve">TRIM("  Delhi  ")  →  "Delhi"</t>
  </si>
  <si>
    <t xml:space="preserve">CONCATENATE</t>
  </si>
  <si>
    <t xml:space="preserve">A1 &amp; " " &amp; B1</t>
  </si>
  <si>
    <t xml:space="preserve">Join text from cells</t>
  </si>
  <si>
    <t xml:space="preserve">"Order: " &amp; A3  →  Order: ORD-001</t>
  </si>
  <si>
    <t xml:space="preserve">ROUND</t>
  </si>
  <si>
    <t xml:space="preserve">ROUND(A1, 2)</t>
  </si>
  <si>
    <t xml:space="preserve">Round to decimal places</t>
  </si>
  <si>
    <t xml:space="preserve">ROUND(15999*0.15, 0)  →  2400</t>
  </si>
  <si>
    <t xml:space="preserve">📈  Data Analysis Dashboard – Indian Store Sales Jan–Jun 2024</t>
  </si>
  <si>
    <t xml:space="preserve">💰 Total Revenue</t>
  </si>
  <si>
    <t xml:space="preserve">📦 Total Orders</t>
  </si>
  <si>
    <t xml:space="preserve">🏆 Best Category</t>
  </si>
  <si>
    <t xml:space="preserve">📊 Avg Profit Margin</t>
  </si>
  <si>
    <t xml:space="preserve">₹8,15,210</t>
  </si>
  <si>
    <t xml:space="preserve">30</t>
  </si>
  <si>
    <t xml:space="preserve">22.2%</t>
  </si>
  <si>
    <t xml:space="preserve">🥇 Top 5 Products by Revenue</t>
  </si>
  <si>
    <t xml:space="preserve">🗺️ Top States by Orders</t>
  </si>
  <si>
    <t xml:space="preserve">Rank</t>
  </si>
  <si>
    <t xml:space="preserve">% of Total</t>
  </si>
  <si>
    <t xml:space="preserve">Trend</t>
  </si>
  <si>
    <t xml:space="preserve">🥇</t>
  </si>
  <si>
    <t xml:space="preserve">₹1,05,998</t>
  </si>
  <si>
    <t xml:space="preserve">13.0%</t>
  </si>
  <si>
    <t xml:space="preserve">₹1,87,988</t>
  </si>
  <si>
    <t xml:space="preserve">📈 Up</t>
  </si>
  <si>
    <t xml:space="preserve">🥈</t>
  </si>
  <si>
    <t xml:space="preserve">₹32,999</t>
  </si>
  <si>
    <t xml:space="preserve">4.0%</t>
  </si>
  <si>
    <t xml:space="preserve">₹1,02,787</t>
  </si>
  <si>
    <t xml:space="preserve">🥉</t>
  </si>
  <si>
    <t xml:space="preserve">₹56,997</t>
  </si>
  <si>
    <t xml:space="preserve">7.0%</t>
  </si>
  <si>
    <t xml:space="preserve">₹35,088</t>
  </si>
  <si>
    <t xml:space="preserve">➡ Stable</t>
  </si>
  <si>
    <t xml:space="preserve">4️⃣</t>
  </si>
  <si>
    <t xml:space="preserve">₹17,998</t>
  </si>
  <si>
    <t xml:space="preserve">2.2%</t>
  </si>
  <si>
    <t xml:space="preserve">₹28,943</t>
  </si>
  <si>
    <t xml:space="preserve">5️⃣</t>
  </si>
  <si>
    <t xml:space="preserve">₹47,997</t>
  </si>
  <si>
    <t xml:space="preserve">5.9%</t>
  </si>
  <si>
    <t xml:space="preserve">₹26,943</t>
  </si>
  <si>
    <t xml:space="preserve">📌 GitHub Portfolio Note: This workbook shows Pivot Tables, Conditional Formatting, SUMIF/COUNTIF formulas, KPI dashboards — great for Data Analyst Internship showcasing!</t>
  </si>
  <si>
    <t xml:space="preserve">📖  README – How to Use This Workbook for GitHub</t>
  </si>
  <si>
    <t xml:space="preserve">SHEET</t>
  </si>
  <si>
    <t xml:space="preserve">PURPOSE</t>
  </si>
  <si>
    <t xml:space="preserve">WHAT TO LEARN</t>
  </si>
  <si>
    <t xml:space="preserve">GITHUB TIP</t>
  </si>
  <si>
    <t xml:space="preserve">Sales Data</t>
  </si>
  <si>
    <t xml:space="preserve">30 rows of real-looking Indian sales data</t>
  </si>
  <si>
    <t xml:space="preserve">Raw data entry, formulas, color-coded status</t>
  </si>
  <si>
    <t xml:space="preserve">Screenshot this as 'data cleaning' sample</t>
  </si>
  <si>
    <t xml:space="preserve">Pivot – Category</t>
  </si>
  <si>
    <t xml:space="preserve">Aggregated by product category</t>
  </si>
  <si>
    <t xml:space="preserve">SUMIF logic, profit margin %, color scales</t>
  </si>
  <si>
    <t xml:space="preserve">Title screenshot: 'Pivot Table Analysis'</t>
  </si>
  <si>
    <t xml:space="preserve">Pivot – Monthly</t>
  </si>
  <si>
    <t xml:space="preserve">Month-wise trend table</t>
  </si>
  <si>
    <t xml:space="preserve">Growth % formula, conditional color formatting</t>
  </si>
  <si>
    <t xml:space="preserve">Title: 'Time-Series Analysis Jan–Jun 2024'</t>
  </si>
  <si>
    <t xml:space="preserve">Conditional Fmt</t>
  </si>
  <si>
    <t xml:space="preserve">Traffic light scores + heat map</t>
  </si>
  <si>
    <t xml:space="preserve">IF logic visually, color rules, data bars</t>
  </si>
  <si>
    <t xml:space="preserve">Title: 'Conditional Formatting Showcase'</t>
  </si>
  <si>
    <t xml:space="preserve">Key Formulas</t>
  </si>
  <si>
    <t xml:space="preserve">15 formulas with examples</t>
  </si>
  <si>
    <t xml:space="preserve">SUM, IF, VLOOKUP, SUMIF, COUNTIF etc.</t>
  </si>
  <si>
    <t xml:space="preserve">Add to README.md as 'Formulas Used'</t>
  </si>
  <si>
    <t xml:space="preserve">Dashboard</t>
  </si>
  <si>
    <t xml:space="preserve">KPI cards + top 5 + state map</t>
  </si>
  <si>
    <t xml:space="preserve">Building a summary view from raw data</t>
  </si>
  <si>
    <t xml:space="preserve">Best screenshot for GitHub project thumbnail!</t>
  </si>
  <si>
    <t xml:space="preserve">✅  Upload this .xlsx to GitHub → Add a README.md → Share the repo link in your internship application!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</si>
</sst>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₹#,##0"/>
    <numFmt numFmtId="167" formatCode="0.0%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145B00"/>
      <name val="Arial"/>
      <family val="0"/>
      <charset val="1"/>
    </font>
    <font>
      <b val="true"/>
      <sz val="18"/>
      <color rgb="FF833C00"/>
      <name val="Arial"/>
      <family val="0"/>
      <charset val="1"/>
    </font>
    <font>
      <b val="true"/>
      <sz val="18"/>
      <color rgb="FF7E5C00"/>
      <name val="Arial"/>
      <family val="0"/>
      <charset val="1"/>
    </font>
    <font>
      <i val="true"/>
      <sz val="10"/>
      <color rgb="FF1F3864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7F9FC"/>
      </patternFill>
    </fill>
    <fill>
      <patternFill patternType="solid">
        <fgColor rgb="FFE2EFDA"/>
        <bgColor rgb="FFF2F2F2"/>
      </patternFill>
    </fill>
    <fill>
      <patternFill patternType="solid">
        <fgColor rgb="FFF7F9FC"/>
        <bgColor rgb="FFEEF4FB"/>
      </patternFill>
    </fill>
    <fill>
      <patternFill patternType="solid">
        <fgColor rgb="FFFF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BDD7EE"/>
        <bgColor rgb="FFCCCCCC"/>
      </patternFill>
    </fill>
    <fill>
      <patternFill patternType="solid">
        <fgColor rgb="FFFCE4D6"/>
        <bgColor rgb="FFFFE6E6"/>
      </patternFill>
    </fill>
    <fill>
      <patternFill patternType="solid">
        <fgColor rgb="FFEAD1DC"/>
        <bgColor rgb="FFFFC7CE"/>
      </patternFill>
    </fill>
    <fill>
      <patternFill patternType="solid">
        <fgColor rgb="FFF2F2F2"/>
        <bgColor rgb="FFEEF4FB"/>
      </patternFill>
    </fill>
    <fill>
      <patternFill patternType="solid">
        <fgColor rgb="FFFFD966"/>
        <bgColor rgb="FFF0E68C"/>
      </patternFill>
    </fill>
    <fill>
      <patternFill patternType="solid">
        <fgColor rgb="FFF0E68C"/>
        <bgColor rgb="FFFFEB9C"/>
      </patternFill>
    </fill>
    <fill>
      <patternFill patternType="solid">
        <fgColor rgb="FFEEF4FB"/>
        <bgColor rgb="FFF2F2F2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0E68C"/>
      <rgbColor rgb="FFFF00FF"/>
      <rgbColor rgb="FF00FFFF"/>
      <rgbColor rgb="FF9C0006"/>
      <rgbColor rgb="FF006100"/>
      <rgbColor rgb="FF000080"/>
      <rgbColor rgb="FF7E5C00"/>
      <rgbColor rgb="FF800080"/>
      <rgbColor rgb="FF008080"/>
      <rgbColor rgb="FFCCCCCC"/>
      <rgbColor rgb="FF808080"/>
      <rgbColor rgb="FFF7F9FC"/>
      <rgbColor rgb="FF7030A0"/>
      <rgbColor rgb="FFFFF2CC"/>
      <rgbColor rgb="FFEEF4FB"/>
      <rgbColor rgb="FF660066"/>
      <rgbColor rgb="FFFF8080"/>
      <rgbColor rgb="FF0066CC"/>
      <rgbColor rgb="FFBDD7EE"/>
      <rgbColor rgb="FF000080"/>
      <rgbColor rgb="FFFF00FF"/>
      <rgbColor rgb="FFFFE6E6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F2F2"/>
      <rgbColor rgb="FFEAD1DC"/>
      <rgbColor rgb="FFFCE4D6"/>
      <rgbColor rgb="FFFFC7CE"/>
      <rgbColor rgb="FF2E75B6"/>
      <rgbColor rgb="FF33CCCC"/>
      <rgbColor rgb="FF99CC00"/>
      <rgbColor rgb="FFFFD966"/>
      <rgbColor rgb="FFFF9900"/>
      <rgbColor rgb="FFED7D31"/>
      <rgbColor rgb="FF595959"/>
      <rgbColor rgb="FF70AD47"/>
      <rgbColor rgb="FF1F3864"/>
      <rgbColor rgb="FF339966"/>
      <rgbColor rgb="FF145B00"/>
      <rgbColor rgb="FF333300"/>
      <rgbColor rgb="FF833C00"/>
      <rgbColor rgb="FF9C570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2" min="11" style="1" width="1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7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tru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5" t="n">
        <v>3</v>
      </c>
      <c r="I3" s="5" t="n">
        <v>18999</v>
      </c>
      <c r="J3" s="6" t="n">
        <f aca="false">H3*I3</f>
        <v>56997</v>
      </c>
      <c r="K3" s="6" t="n">
        <f aca="false">J3*0.15</f>
        <v>8549.55</v>
      </c>
      <c r="L3" s="7" t="s">
        <v>20</v>
      </c>
    </row>
    <row r="4" customFormat="false" ht="15" hidden="false" customHeight="true" outlineLevel="0" collapsed="false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9" t="n">
        <v>5</v>
      </c>
      <c r="I4" s="9" t="n">
        <v>1299</v>
      </c>
      <c r="J4" s="10" t="n">
        <f aca="false">H4*I4</f>
        <v>6495</v>
      </c>
      <c r="K4" s="10" t="n">
        <f aca="false">J4*0.3</f>
        <v>1948.5</v>
      </c>
      <c r="L4" s="7" t="s">
        <v>20</v>
      </c>
    </row>
    <row r="5" customFormat="false" ht="15" hidden="false" customHeight="tru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  <c r="F5" s="4" t="s">
        <v>18</v>
      </c>
      <c r="G5" s="4" t="s">
        <v>32</v>
      </c>
      <c r="H5" s="5" t="n">
        <v>2</v>
      </c>
      <c r="I5" s="5" t="n">
        <v>52999</v>
      </c>
      <c r="J5" s="6" t="n">
        <f aca="false">H5*I5</f>
        <v>105998</v>
      </c>
      <c r="K5" s="6" t="n">
        <f aca="false">J5*0.15</f>
        <v>15899.7</v>
      </c>
      <c r="L5" s="7" t="s">
        <v>20</v>
      </c>
    </row>
    <row r="6" customFormat="false" ht="15" hidden="false" customHeight="true" outlineLevel="0" collapsed="false">
      <c r="A6" s="8" t="s">
        <v>33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39</v>
      </c>
      <c r="H6" s="9" t="n">
        <v>4</v>
      </c>
      <c r="I6" s="9" t="n">
        <v>2499</v>
      </c>
      <c r="J6" s="10" t="n">
        <f aca="false">H6*I6</f>
        <v>9996</v>
      </c>
      <c r="K6" s="10" t="n">
        <f aca="false">J6*0.22</f>
        <v>2199.12</v>
      </c>
      <c r="L6" s="7" t="s">
        <v>20</v>
      </c>
    </row>
    <row r="7" customFormat="false" ht="15" hidden="false" customHeight="true" outlineLevel="0" collapsed="false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46</v>
      </c>
      <c r="H7" s="5" t="n">
        <v>10</v>
      </c>
      <c r="I7" s="5" t="n">
        <v>599</v>
      </c>
      <c r="J7" s="6" t="n">
        <f aca="false">H7*I7</f>
        <v>5990</v>
      </c>
      <c r="K7" s="6" t="n">
        <f aca="false">J7*0.4</f>
        <v>2396</v>
      </c>
      <c r="L7" s="7" t="s">
        <v>20</v>
      </c>
    </row>
    <row r="8" customFormat="false" ht="15" hidden="false" customHeight="true" outlineLevel="0" collapsed="false">
      <c r="A8" s="8" t="s">
        <v>47</v>
      </c>
      <c r="B8" s="8" t="s">
        <v>48</v>
      </c>
      <c r="C8" s="8" t="s">
        <v>49</v>
      </c>
      <c r="D8" s="8" t="s">
        <v>50</v>
      </c>
      <c r="E8" s="8" t="s">
        <v>51</v>
      </c>
      <c r="F8" s="8" t="s">
        <v>18</v>
      </c>
      <c r="G8" s="8" t="s">
        <v>52</v>
      </c>
      <c r="H8" s="9" t="n">
        <v>6</v>
      </c>
      <c r="I8" s="9" t="n">
        <v>2999</v>
      </c>
      <c r="J8" s="10" t="n">
        <f aca="false">H8*I8</f>
        <v>17994</v>
      </c>
      <c r="K8" s="10" t="n">
        <f aca="false">J8*0.15</f>
        <v>2699.1</v>
      </c>
      <c r="L8" s="7" t="s">
        <v>20</v>
      </c>
    </row>
    <row r="9" customFormat="false" ht="15" hidden="false" customHeight="true" outlineLevel="0" collapsed="false">
      <c r="A9" s="4" t="s">
        <v>53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26</v>
      </c>
      <c r="G9" s="4" t="s">
        <v>58</v>
      </c>
      <c r="H9" s="5" t="n">
        <v>3</v>
      </c>
      <c r="I9" s="5" t="n">
        <v>3499</v>
      </c>
      <c r="J9" s="6" t="n">
        <f aca="false">H9*I9</f>
        <v>10497</v>
      </c>
      <c r="K9" s="6" t="n">
        <f aca="false">J9*0.3</f>
        <v>3149.1</v>
      </c>
      <c r="L9" s="7" t="s">
        <v>20</v>
      </c>
    </row>
    <row r="10" customFormat="false" ht="15" hidden="false" customHeight="true" outlineLevel="0" collapsed="false">
      <c r="A10" s="8" t="s">
        <v>59</v>
      </c>
      <c r="B10" s="8" t="s">
        <v>60</v>
      </c>
      <c r="C10" s="8" t="s">
        <v>61</v>
      </c>
      <c r="D10" s="8" t="s">
        <v>62</v>
      </c>
      <c r="E10" s="8" t="s">
        <v>63</v>
      </c>
      <c r="F10" s="8" t="s">
        <v>64</v>
      </c>
      <c r="G10" s="8" t="s">
        <v>65</v>
      </c>
      <c r="H10" s="9" t="n">
        <v>8</v>
      </c>
      <c r="I10" s="9" t="n">
        <v>799</v>
      </c>
      <c r="J10" s="10" t="n">
        <f aca="false">H10*I10</f>
        <v>6392</v>
      </c>
      <c r="K10" s="10" t="n">
        <f aca="false">J10*0.35</f>
        <v>2237.2</v>
      </c>
      <c r="L10" s="11" t="s">
        <v>66</v>
      </c>
    </row>
    <row r="11" customFormat="false" ht="15" hidden="false" customHeight="true" outlineLevel="0" collapsed="false">
      <c r="A11" s="4" t="s">
        <v>67</v>
      </c>
      <c r="B11" s="4" t="s">
        <v>68</v>
      </c>
      <c r="C11" s="4" t="s">
        <v>69</v>
      </c>
      <c r="D11" s="4" t="s">
        <v>70</v>
      </c>
      <c r="E11" s="4" t="s">
        <v>17</v>
      </c>
      <c r="F11" s="4" t="s">
        <v>18</v>
      </c>
      <c r="G11" s="4" t="s">
        <v>71</v>
      </c>
      <c r="H11" s="5" t="n">
        <v>4</v>
      </c>
      <c r="I11" s="5" t="n">
        <v>8999</v>
      </c>
      <c r="J11" s="6" t="n">
        <f aca="false">H11*I11</f>
        <v>35996</v>
      </c>
      <c r="K11" s="6" t="n">
        <f aca="false">J11*0.15</f>
        <v>5399.4</v>
      </c>
      <c r="L11" s="7" t="s">
        <v>20</v>
      </c>
    </row>
    <row r="12" customFormat="false" ht="15" hidden="false" customHeight="true" outlineLevel="0" collapsed="false">
      <c r="A12" s="8" t="s">
        <v>72</v>
      </c>
      <c r="B12" s="8" t="s">
        <v>73</v>
      </c>
      <c r="C12" s="8" t="s">
        <v>74</v>
      </c>
      <c r="D12" s="8" t="s">
        <v>75</v>
      </c>
      <c r="E12" s="8" t="s">
        <v>51</v>
      </c>
      <c r="F12" s="8" t="s">
        <v>45</v>
      </c>
      <c r="G12" s="8" t="s">
        <v>76</v>
      </c>
      <c r="H12" s="9" t="n">
        <v>7</v>
      </c>
      <c r="I12" s="9" t="n">
        <v>449</v>
      </c>
      <c r="J12" s="10" t="n">
        <f aca="false">H12*I12</f>
        <v>3143</v>
      </c>
      <c r="K12" s="10" t="n">
        <f aca="false">J12*0.4</f>
        <v>1257.2</v>
      </c>
      <c r="L12" s="7" t="s">
        <v>20</v>
      </c>
    </row>
    <row r="13" customFormat="false" ht="15" hidden="false" customHeight="true" outlineLevel="0" collapsed="false">
      <c r="A13" s="4" t="s">
        <v>77</v>
      </c>
      <c r="B13" s="4" t="s">
        <v>78</v>
      </c>
      <c r="C13" s="4" t="s">
        <v>79</v>
      </c>
      <c r="D13" s="4" t="s">
        <v>80</v>
      </c>
      <c r="E13" s="4" t="s">
        <v>81</v>
      </c>
      <c r="F13" s="4" t="s">
        <v>38</v>
      </c>
      <c r="G13" s="4" t="s">
        <v>82</v>
      </c>
      <c r="H13" s="5" t="n">
        <v>2</v>
      </c>
      <c r="I13" s="5" t="n">
        <v>5999</v>
      </c>
      <c r="J13" s="6" t="n">
        <f aca="false">H13*I13</f>
        <v>11998</v>
      </c>
      <c r="K13" s="6" t="n">
        <f aca="false">J13*0.22</f>
        <v>2639.56</v>
      </c>
      <c r="L13" s="7" t="s">
        <v>20</v>
      </c>
    </row>
    <row r="14" customFormat="false" ht="15" hidden="false" customHeight="true" outlineLevel="0" collapsed="false">
      <c r="A14" s="8" t="s">
        <v>83</v>
      </c>
      <c r="B14" s="8" t="s">
        <v>84</v>
      </c>
      <c r="C14" s="8" t="s">
        <v>85</v>
      </c>
      <c r="D14" s="8" t="s">
        <v>43</v>
      </c>
      <c r="E14" s="8" t="s">
        <v>44</v>
      </c>
      <c r="F14" s="8" t="s">
        <v>26</v>
      </c>
      <c r="G14" s="8" t="s">
        <v>86</v>
      </c>
      <c r="H14" s="9" t="n">
        <v>4</v>
      </c>
      <c r="I14" s="9" t="n">
        <v>4999</v>
      </c>
      <c r="J14" s="10" t="n">
        <f aca="false">H14*I14</f>
        <v>19996</v>
      </c>
      <c r="K14" s="10" t="n">
        <f aca="false">J14*0.3</f>
        <v>5998.8</v>
      </c>
      <c r="L14" s="7" t="s">
        <v>20</v>
      </c>
    </row>
    <row r="15" customFormat="false" ht="15" hidden="false" customHeight="true" outlineLevel="0" collapsed="false">
      <c r="A15" s="4" t="s">
        <v>87</v>
      </c>
      <c r="B15" s="4" t="s">
        <v>88</v>
      </c>
      <c r="C15" s="4" t="s">
        <v>89</v>
      </c>
      <c r="D15" s="4" t="s">
        <v>36</v>
      </c>
      <c r="E15" s="4" t="s">
        <v>37</v>
      </c>
      <c r="F15" s="4" t="s">
        <v>18</v>
      </c>
      <c r="G15" s="4" t="s">
        <v>90</v>
      </c>
      <c r="H15" s="5" t="n">
        <v>3</v>
      </c>
      <c r="I15" s="5" t="n">
        <v>15999</v>
      </c>
      <c r="J15" s="6" t="n">
        <f aca="false">H15*I15</f>
        <v>47997</v>
      </c>
      <c r="K15" s="6" t="n">
        <f aca="false">J15*0.15</f>
        <v>7199.55</v>
      </c>
      <c r="L15" s="12" t="s">
        <v>91</v>
      </c>
    </row>
    <row r="16" customFormat="false" ht="15" hidden="false" customHeight="true" outlineLevel="0" collapsed="false">
      <c r="A16" s="8" t="s">
        <v>92</v>
      </c>
      <c r="B16" s="8" t="s">
        <v>93</v>
      </c>
      <c r="C16" s="8" t="s">
        <v>94</v>
      </c>
      <c r="D16" s="8" t="s">
        <v>95</v>
      </c>
      <c r="E16" s="8" t="s">
        <v>96</v>
      </c>
      <c r="F16" s="8" t="s">
        <v>64</v>
      </c>
      <c r="G16" s="8" t="s">
        <v>97</v>
      </c>
      <c r="H16" s="9" t="n">
        <v>12</v>
      </c>
      <c r="I16" s="9" t="n">
        <v>349</v>
      </c>
      <c r="J16" s="10" t="n">
        <f aca="false">H16*I16</f>
        <v>4188</v>
      </c>
      <c r="K16" s="10" t="n">
        <f aca="false">J16*0.35</f>
        <v>1465.8</v>
      </c>
      <c r="L16" s="7" t="s">
        <v>20</v>
      </c>
    </row>
    <row r="17" customFormat="false" ht="15" hidden="false" customHeight="true" outlineLevel="0" collapsed="false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63</v>
      </c>
      <c r="F17" s="4" t="s">
        <v>45</v>
      </c>
      <c r="G17" s="4" t="s">
        <v>102</v>
      </c>
      <c r="H17" s="5" t="n">
        <v>9</v>
      </c>
      <c r="I17" s="5" t="n">
        <v>299</v>
      </c>
      <c r="J17" s="6" t="n">
        <f aca="false">H17*I17</f>
        <v>2691</v>
      </c>
      <c r="K17" s="6" t="n">
        <f aca="false">J17*0.4</f>
        <v>1076.4</v>
      </c>
      <c r="L17" s="7" t="s">
        <v>20</v>
      </c>
    </row>
    <row r="18" customFormat="false" ht="15" hidden="false" customHeight="true" outlineLevel="0" collapsed="false">
      <c r="A18" s="8" t="s">
        <v>103</v>
      </c>
      <c r="B18" s="8" t="s">
        <v>104</v>
      </c>
      <c r="C18" s="8" t="s">
        <v>105</v>
      </c>
      <c r="D18" s="8" t="s">
        <v>31</v>
      </c>
      <c r="E18" s="8" t="s">
        <v>31</v>
      </c>
      <c r="F18" s="8" t="s">
        <v>18</v>
      </c>
      <c r="G18" s="8" t="s">
        <v>106</v>
      </c>
      <c r="H18" s="9" t="n">
        <v>5</v>
      </c>
      <c r="I18" s="9" t="n">
        <v>3499</v>
      </c>
      <c r="J18" s="10" t="n">
        <f aca="false">H18*I18</f>
        <v>17495</v>
      </c>
      <c r="K18" s="10" t="n">
        <f aca="false">J18*0.15</f>
        <v>2624.25</v>
      </c>
      <c r="L18" s="7" t="s">
        <v>20</v>
      </c>
    </row>
    <row r="19" customFormat="false" ht="15" hidden="false" customHeight="true" outlineLevel="0" collapsed="false">
      <c r="A19" s="4" t="s">
        <v>107</v>
      </c>
      <c r="B19" s="4" t="s">
        <v>108</v>
      </c>
      <c r="C19" s="4" t="s">
        <v>109</v>
      </c>
      <c r="D19" s="4" t="s">
        <v>110</v>
      </c>
      <c r="E19" s="4" t="s">
        <v>57</v>
      </c>
      <c r="F19" s="4" t="s">
        <v>38</v>
      </c>
      <c r="G19" s="4" t="s">
        <v>111</v>
      </c>
      <c r="H19" s="5" t="n">
        <v>3</v>
      </c>
      <c r="I19" s="5" t="n">
        <v>3999</v>
      </c>
      <c r="J19" s="6" t="n">
        <f aca="false">H19*I19</f>
        <v>11997</v>
      </c>
      <c r="K19" s="6" t="n">
        <f aca="false">J19*0.22</f>
        <v>2639.34</v>
      </c>
      <c r="L19" s="7" t="s">
        <v>20</v>
      </c>
    </row>
    <row r="20" customFormat="false" ht="15" hidden="false" customHeight="true" outlineLevel="0" collapsed="false">
      <c r="A20" s="8" t="s">
        <v>112</v>
      </c>
      <c r="B20" s="8" t="s">
        <v>113</v>
      </c>
      <c r="C20" s="8" t="s">
        <v>114</v>
      </c>
      <c r="D20" s="8" t="s">
        <v>115</v>
      </c>
      <c r="E20" s="8" t="s">
        <v>96</v>
      </c>
      <c r="F20" s="8" t="s">
        <v>26</v>
      </c>
      <c r="G20" s="8" t="s">
        <v>116</v>
      </c>
      <c r="H20" s="9" t="n">
        <v>6</v>
      </c>
      <c r="I20" s="9" t="n">
        <v>2199</v>
      </c>
      <c r="J20" s="10" t="n">
        <f aca="false">H20*I20</f>
        <v>13194</v>
      </c>
      <c r="K20" s="10" t="n">
        <f aca="false">J20*0.3</f>
        <v>3958.2</v>
      </c>
      <c r="L20" s="7" t="s">
        <v>20</v>
      </c>
    </row>
    <row r="21" customFormat="false" ht="15" hidden="false" customHeight="true" outlineLevel="0" collapsed="false">
      <c r="A21" s="4" t="s">
        <v>117</v>
      </c>
      <c r="B21" s="4" t="s">
        <v>118</v>
      </c>
      <c r="C21" s="4" t="s">
        <v>119</v>
      </c>
      <c r="D21" s="4" t="s">
        <v>120</v>
      </c>
      <c r="E21" s="4" t="s">
        <v>121</v>
      </c>
      <c r="F21" s="4" t="s">
        <v>18</v>
      </c>
      <c r="G21" s="4" t="s">
        <v>122</v>
      </c>
      <c r="H21" s="5" t="n">
        <v>8</v>
      </c>
      <c r="I21" s="5" t="n">
        <v>1499</v>
      </c>
      <c r="J21" s="6" t="n">
        <f aca="false">H21*I21</f>
        <v>11992</v>
      </c>
      <c r="K21" s="6" t="n">
        <f aca="false">J21*0.15</f>
        <v>1798.8</v>
      </c>
      <c r="L21" s="7" t="s">
        <v>20</v>
      </c>
    </row>
    <row r="22" customFormat="false" ht="15" hidden="false" customHeight="true" outlineLevel="0" collapsed="false">
      <c r="A22" s="8" t="s">
        <v>123</v>
      </c>
      <c r="B22" s="8" t="s">
        <v>124</v>
      </c>
      <c r="C22" s="8" t="s">
        <v>125</v>
      </c>
      <c r="D22" s="8" t="s">
        <v>50</v>
      </c>
      <c r="E22" s="8" t="s">
        <v>51</v>
      </c>
      <c r="F22" s="8" t="s">
        <v>64</v>
      </c>
      <c r="G22" s="8" t="s">
        <v>126</v>
      </c>
      <c r="H22" s="9" t="n">
        <v>5</v>
      </c>
      <c r="I22" s="9" t="n">
        <v>1999</v>
      </c>
      <c r="J22" s="10" t="n">
        <f aca="false">H22*I22</f>
        <v>9995</v>
      </c>
      <c r="K22" s="10" t="n">
        <f aca="false">J22*0.35</f>
        <v>3498.25</v>
      </c>
      <c r="L22" s="7" t="s">
        <v>20</v>
      </c>
    </row>
    <row r="23" customFormat="false" ht="15" hidden="false" customHeight="true" outlineLevel="0" collapsed="false">
      <c r="A23" s="4" t="s">
        <v>127</v>
      </c>
      <c r="B23" s="4" t="s">
        <v>128</v>
      </c>
      <c r="C23" s="4" t="s">
        <v>129</v>
      </c>
      <c r="D23" s="4" t="s">
        <v>130</v>
      </c>
      <c r="E23" s="4" t="s">
        <v>131</v>
      </c>
      <c r="F23" s="4" t="s">
        <v>45</v>
      </c>
      <c r="G23" s="4" t="s">
        <v>132</v>
      </c>
      <c r="H23" s="5" t="n">
        <v>6</v>
      </c>
      <c r="I23" s="5" t="n">
        <v>399</v>
      </c>
      <c r="J23" s="6" t="n">
        <f aca="false">H23*I23</f>
        <v>2394</v>
      </c>
      <c r="K23" s="6" t="n">
        <f aca="false">J23*0.4</f>
        <v>957.6</v>
      </c>
      <c r="L23" s="7" t="s">
        <v>20</v>
      </c>
    </row>
    <row r="24" customFormat="false" ht="15" hidden="false" customHeight="true" outlineLevel="0" collapsed="false">
      <c r="A24" s="8" t="s">
        <v>133</v>
      </c>
      <c r="B24" s="8" t="s">
        <v>134</v>
      </c>
      <c r="C24" s="8" t="s">
        <v>135</v>
      </c>
      <c r="D24" s="8" t="s">
        <v>136</v>
      </c>
      <c r="E24" s="8" t="s">
        <v>137</v>
      </c>
      <c r="F24" s="8" t="s">
        <v>26</v>
      </c>
      <c r="G24" s="8" t="s">
        <v>138</v>
      </c>
      <c r="H24" s="9" t="n">
        <v>7</v>
      </c>
      <c r="I24" s="9" t="n">
        <v>1799</v>
      </c>
      <c r="J24" s="10" t="n">
        <f aca="false">H24*I24</f>
        <v>12593</v>
      </c>
      <c r="K24" s="10" t="n">
        <f aca="false">J24*0.3</f>
        <v>3777.9</v>
      </c>
      <c r="L24" s="7" t="s">
        <v>20</v>
      </c>
    </row>
    <row r="25" customFormat="false" ht="15" hidden="false" customHeight="true" outlineLevel="0" collapsed="false">
      <c r="A25" s="4" t="s">
        <v>139</v>
      </c>
      <c r="B25" s="4" t="s">
        <v>140</v>
      </c>
      <c r="C25" s="4" t="s">
        <v>141</v>
      </c>
      <c r="D25" s="4" t="s">
        <v>142</v>
      </c>
      <c r="E25" s="4" t="s">
        <v>96</v>
      </c>
      <c r="F25" s="4" t="s">
        <v>38</v>
      </c>
      <c r="G25" s="4" t="s">
        <v>143</v>
      </c>
      <c r="H25" s="5" t="n">
        <v>2</v>
      </c>
      <c r="I25" s="5" t="n">
        <v>8999</v>
      </c>
      <c r="J25" s="6" t="n">
        <f aca="false">H25*I25</f>
        <v>17998</v>
      </c>
      <c r="K25" s="6" t="n">
        <f aca="false">J25*0.22</f>
        <v>3959.56</v>
      </c>
      <c r="L25" s="7" t="s">
        <v>20</v>
      </c>
    </row>
    <row r="26" customFormat="false" ht="15" hidden="false" customHeight="true" outlineLevel="0" collapsed="false">
      <c r="A26" s="8" t="s">
        <v>144</v>
      </c>
      <c r="B26" s="8" t="s">
        <v>145</v>
      </c>
      <c r="C26" s="8" t="s">
        <v>146</v>
      </c>
      <c r="D26" s="8" t="s">
        <v>147</v>
      </c>
      <c r="E26" s="8" t="s">
        <v>17</v>
      </c>
      <c r="F26" s="8" t="s">
        <v>18</v>
      </c>
      <c r="G26" s="8" t="s">
        <v>148</v>
      </c>
      <c r="H26" s="9" t="n">
        <v>9</v>
      </c>
      <c r="I26" s="9" t="n">
        <v>1299</v>
      </c>
      <c r="J26" s="10" t="n">
        <f aca="false">H26*I26</f>
        <v>11691</v>
      </c>
      <c r="K26" s="10" t="n">
        <f aca="false">J26*0.15</f>
        <v>1753.65</v>
      </c>
      <c r="L26" s="7" t="s">
        <v>20</v>
      </c>
    </row>
    <row r="27" customFormat="false" ht="15" hidden="false" customHeight="true" outlineLevel="0" collapsed="false">
      <c r="A27" s="4" t="s">
        <v>149</v>
      </c>
      <c r="B27" s="4" t="s">
        <v>150</v>
      </c>
      <c r="C27" s="4" t="s">
        <v>151</v>
      </c>
      <c r="D27" s="4" t="s">
        <v>50</v>
      </c>
      <c r="E27" s="4" t="s">
        <v>51</v>
      </c>
      <c r="F27" s="4" t="s">
        <v>64</v>
      </c>
      <c r="G27" s="4" t="s">
        <v>152</v>
      </c>
      <c r="H27" s="5" t="n">
        <v>4</v>
      </c>
      <c r="I27" s="5" t="n">
        <v>1599</v>
      </c>
      <c r="J27" s="6" t="n">
        <f aca="false">H27*I27</f>
        <v>6396</v>
      </c>
      <c r="K27" s="6" t="n">
        <f aca="false">J27*0.35</f>
        <v>2238.6</v>
      </c>
      <c r="L27" s="11" t="s">
        <v>66</v>
      </c>
    </row>
    <row r="28" customFormat="false" ht="15" hidden="false" customHeight="true" outlineLevel="0" collapsed="false">
      <c r="A28" s="8" t="s">
        <v>153</v>
      </c>
      <c r="B28" s="8" t="s">
        <v>154</v>
      </c>
      <c r="C28" s="8" t="s">
        <v>155</v>
      </c>
      <c r="D28" s="8" t="s">
        <v>16</v>
      </c>
      <c r="E28" s="8" t="s">
        <v>17</v>
      </c>
      <c r="F28" s="8" t="s">
        <v>26</v>
      </c>
      <c r="G28" s="8" t="s">
        <v>86</v>
      </c>
      <c r="H28" s="9" t="n">
        <v>3</v>
      </c>
      <c r="I28" s="9" t="n">
        <v>5999</v>
      </c>
      <c r="J28" s="10" t="n">
        <f aca="false">H28*I28</f>
        <v>17997</v>
      </c>
      <c r="K28" s="10" t="n">
        <f aca="false">J28*0.3</f>
        <v>5399.1</v>
      </c>
      <c r="L28" s="7" t="s">
        <v>20</v>
      </c>
    </row>
    <row r="29" customFormat="false" ht="15" hidden="false" customHeight="true" outlineLevel="0" collapsed="false">
      <c r="A29" s="4" t="s">
        <v>156</v>
      </c>
      <c r="B29" s="4" t="s">
        <v>157</v>
      </c>
      <c r="C29" s="4" t="s">
        <v>158</v>
      </c>
      <c r="D29" s="4" t="s">
        <v>159</v>
      </c>
      <c r="E29" s="4" t="s">
        <v>25</v>
      </c>
      <c r="F29" s="4" t="s">
        <v>18</v>
      </c>
      <c r="G29" s="4" t="s">
        <v>160</v>
      </c>
      <c r="H29" s="5" t="n">
        <v>1</v>
      </c>
      <c r="I29" s="5" t="n">
        <v>32999</v>
      </c>
      <c r="J29" s="6" t="n">
        <f aca="false">H29*I29</f>
        <v>32999</v>
      </c>
      <c r="K29" s="6" t="n">
        <f aca="false">J29*0.15</f>
        <v>4949.85</v>
      </c>
      <c r="L29" s="7" t="s">
        <v>20</v>
      </c>
    </row>
    <row r="30" customFormat="false" ht="15" hidden="false" customHeight="true" outlineLevel="0" collapsed="false">
      <c r="A30" s="8" t="s">
        <v>161</v>
      </c>
      <c r="B30" s="8" t="s">
        <v>162</v>
      </c>
      <c r="C30" s="8" t="s">
        <v>163</v>
      </c>
      <c r="D30" s="8" t="s">
        <v>164</v>
      </c>
      <c r="E30" s="8" t="s">
        <v>121</v>
      </c>
      <c r="F30" s="8" t="s">
        <v>38</v>
      </c>
      <c r="G30" s="8" t="s">
        <v>165</v>
      </c>
      <c r="H30" s="9" t="n">
        <v>4</v>
      </c>
      <c r="I30" s="9" t="n">
        <v>3499</v>
      </c>
      <c r="J30" s="10" t="n">
        <f aca="false">H30*I30</f>
        <v>13996</v>
      </c>
      <c r="K30" s="10" t="n">
        <f aca="false">J30*0.22</f>
        <v>3079.12</v>
      </c>
      <c r="L30" s="7" t="s">
        <v>20</v>
      </c>
    </row>
    <row r="31" customFormat="false" ht="15" hidden="false" customHeight="true" outlineLevel="0" collapsed="false">
      <c r="A31" s="4" t="s">
        <v>166</v>
      </c>
      <c r="B31" s="4" t="s">
        <v>167</v>
      </c>
      <c r="C31" s="4" t="s">
        <v>168</v>
      </c>
      <c r="D31" s="4" t="s">
        <v>56</v>
      </c>
      <c r="E31" s="4" t="s">
        <v>57</v>
      </c>
      <c r="F31" s="4" t="s">
        <v>45</v>
      </c>
      <c r="G31" s="4" t="s">
        <v>169</v>
      </c>
      <c r="H31" s="5" t="n">
        <v>8</v>
      </c>
      <c r="I31" s="5" t="n">
        <v>549</v>
      </c>
      <c r="J31" s="6" t="n">
        <f aca="false">H31*I31</f>
        <v>4392</v>
      </c>
      <c r="K31" s="6" t="n">
        <f aca="false">J31*0.4</f>
        <v>1756.8</v>
      </c>
      <c r="L31" s="7" t="s">
        <v>20</v>
      </c>
    </row>
    <row r="32" customFormat="false" ht="15" hidden="false" customHeight="true" outlineLevel="0" collapsed="false">
      <c r="A32" s="8" t="s">
        <v>170</v>
      </c>
      <c r="B32" s="8" t="s">
        <v>171</v>
      </c>
      <c r="C32" s="8" t="s">
        <v>172</v>
      </c>
      <c r="D32" s="8" t="s">
        <v>173</v>
      </c>
      <c r="E32" s="8" t="s">
        <v>137</v>
      </c>
      <c r="F32" s="8" t="s">
        <v>26</v>
      </c>
      <c r="G32" s="8" t="s">
        <v>174</v>
      </c>
      <c r="H32" s="9" t="n">
        <v>10</v>
      </c>
      <c r="I32" s="9" t="n">
        <v>1299</v>
      </c>
      <c r="J32" s="10" t="n">
        <f aca="false">H32*I32</f>
        <v>12990</v>
      </c>
      <c r="K32" s="10" t="n">
        <f aca="false">J32*0.3</f>
        <v>3897</v>
      </c>
      <c r="L32" s="7" t="s">
        <v>20</v>
      </c>
    </row>
    <row r="33" customFormat="false" ht="15" hidden="false" customHeight="true" outlineLevel="0" collapsed="false">
      <c r="A33" s="13" t="s">
        <v>175</v>
      </c>
      <c r="B33" s="13"/>
      <c r="C33" s="13"/>
      <c r="D33" s="13"/>
      <c r="E33" s="13"/>
      <c r="F33" s="13"/>
      <c r="G33" s="13"/>
      <c r="H33" s="14" t="n">
        <f aca="false">SUM(H3:H32)</f>
        <v>163</v>
      </c>
      <c r="J33" s="15" t="n">
        <f aca="false">SUM(J3:J32)</f>
        <v>544487</v>
      </c>
      <c r="K33" s="15" t="n">
        <f aca="false">SUM(K3:K32)</f>
        <v>110403</v>
      </c>
    </row>
  </sheetData>
  <mergeCells count="2">
    <mergeCell ref="A1:L1"/>
    <mergeCell ref="A33:G33"/>
  </mergeCells>
  <conditionalFormatting sqref="K3:K32">
    <cfRule type="colorScale" priority="2">
      <colorScale>
        <cfvo type="min" val="0"/>
        <cfvo type="percentile" val="50"/>
        <cfvo type="max" val="0"/>
        <color rgb="FFFF9999"/>
        <color rgb="FFFFFF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6" min="5" style="1" width="16"/>
  </cols>
  <sheetData>
    <row r="1" customFormat="false" ht="31.5" hidden="false" customHeight="true" outlineLevel="0" collapsed="false">
      <c r="A1" s="16" t="s">
        <v>176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3" t="s">
        <v>6</v>
      </c>
      <c r="B2" s="3" t="s">
        <v>177</v>
      </c>
      <c r="C2" s="3" t="s">
        <v>10</v>
      </c>
      <c r="D2" s="3" t="s">
        <v>178</v>
      </c>
      <c r="E2" s="3" t="s">
        <v>179</v>
      </c>
      <c r="F2" s="3" t="s">
        <v>180</v>
      </c>
    </row>
    <row r="3" customFormat="false" ht="15" hidden="false" customHeight="true" outlineLevel="0" collapsed="false">
      <c r="A3" s="17" t="s">
        <v>45</v>
      </c>
      <c r="B3" s="18" t="n">
        <v>40</v>
      </c>
      <c r="C3" s="19" t="n">
        <v>19950</v>
      </c>
      <c r="D3" s="19" t="n">
        <v>7980</v>
      </c>
      <c r="E3" s="20" t="n">
        <f aca="false">D3/C3</f>
        <v>0.4</v>
      </c>
      <c r="F3" s="18" t="s">
        <v>181</v>
      </c>
    </row>
    <row r="4" customFormat="false" ht="15" hidden="false" customHeight="true" outlineLevel="0" collapsed="false">
      <c r="A4" s="21" t="s">
        <v>64</v>
      </c>
      <c r="B4" s="7" t="n">
        <v>29</v>
      </c>
      <c r="C4" s="22" t="n">
        <v>21944</v>
      </c>
      <c r="D4" s="22" t="n">
        <v>7680</v>
      </c>
      <c r="E4" s="23" t="n">
        <f aca="false">D4/C4</f>
        <v>0.34998177178272</v>
      </c>
      <c r="F4" s="7" t="s">
        <v>182</v>
      </c>
    </row>
    <row r="5" customFormat="false" ht="15" hidden="false" customHeight="true" outlineLevel="0" collapsed="false">
      <c r="A5" s="24" t="s">
        <v>26</v>
      </c>
      <c r="B5" s="12" t="n">
        <v>38</v>
      </c>
      <c r="C5" s="25" t="n">
        <v>71887</v>
      </c>
      <c r="D5" s="25" t="n">
        <v>21566</v>
      </c>
      <c r="E5" s="26" t="n">
        <f aca="false">D5/C5</f>
        <v>0.299998608927901</v>
      </c>
      <c r="F5" s="12" t="s">
        <v>182</v>
      </c>
    </row>
    <row r="6" customFormat="false" ht="15" hidden="false" customHeight="true" outlineLevel="0" collapsed="false">
      <c r="A6" s="27" t="s">
        <v>18</v>
      </c>
      <c r="B6" s="28" t="n">
        <v>41</v>
      </c>
      <c r="C6" s="29" t="n">
        <v>257865</v>
      </c>
      <c r="D6" s="29" t="n">
        <v>38680</v>
      </c>
      <c r="E6" s="30" t="n">
        <f aca="false">D6/C6</f>
        <v>0.150000969499544</v>
      </c>
      <c r="F6" s="28" t="s">
        <v>183</v>
      </c>
    </row>
    <row r="7" customFormat="false" ht="15" hidden="false" customHeight="true" outlineLevel="0" collapsed="false">
      <c r="A7" s="31" t="s">
        <v>38</v>
      </c>
      <c r="B7" s="32" t="n">
        <v>15</v>
      </c>
      <c r="C7" s="33" t="n">
        <v>55484</v>
      </c>
      <c r="D7" s="33" t="n">
        <v>12206</v>
      </c>
      <c r="E7" s="34" t="n">
        <f aca="false">D7/C7</f>
        <v>0.219991348857328</v>
      </c>
      <c r="F7" s="32" t="s">
        <v>183</v>
      </c>
    </row>
    <row r="8" customFormat="false" ht="15" hidden="false" customHeight="true" outlineLevel="0" collapsed="false">
      <c r="A8" s="35" t="s">
        <v>184</v>
      </c>
      <c r="B8" s="35" t="n">
        <f aca="false">SUM(B3:B7)</f>
        <v>163</v>
      </c>
      <c r="C8" s="15" t="n">
        <f aca="false">SUM(C3:C7)</f>
        <v>427130</v>
      </c>
      <c r="D8" s="15" t="n">
        <f aca="false">SUM(D3:D7)</f>
        <v>88112</v>
      </c>
      <c r="E8" s="36" t="n">
        <f aca="false">D8/C8</f>
        <v>0.206288483599841</v>
      </c>
      <c r="F8" s="35" t="s">
        <v>185</v>
      </c>
    </row>
    <row r="10" customFormat="false" ht="24" hidden="false" customHeight="true" outlineLevel="0" collapsed="false">
      <c r="A10" s="37" t="s">
        <v>186</v>
      </c>
      <c r="B10" s="37"/>
      <c r="C10" s="37"/>
      <c r="D10" s="37"/>
      <c r="E10" s="37"/>
      <c r="F10" s="37"/>
    </row>
  </sheetData>
  <mergeCells count="2">
    <mergeCell ref="A1:F1"/>
    <mergeCell ref="A10:F10"/>
  </mergeCells>
  <conditionalFormatting sqref="E3:E7">
    <cfRule type="colorScale" priority="2">
      <colorScale>
        <cfvo type="min" val="0"/>
        <cfvo type="max" val="0"/>
        <color rgb="FFFF6666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12"/>
  </cols>
  <sheetData>
    <row r="1" customFormat="false" ht="31.5" hidden="false" customHeight="true" outlineLevel="0" collapsed="false">
      <c r="A1" s="16" t="s">
        <v>187</v>
      </c>
      <c r="B1" s="16"/>
      <c r="C1" s="16"/>
      <c r="D1" s="16"/>
      <c r="E1" s="16"/>
    </row>
    <row r="2" customFormat="false" ht="15" hidden="false" customHeight="true" outlineLevel="0" collapsed="false">
      <c r="A2" s="3" t="s">
        <v>188</v>
      </c>
      <c r="B2" s="3" t="s">
        <v>189</v>
      </c>
      <c r="C2" s="3" t="s">
        <v>190</v>
      </c>
      <c r="D2" s="3" t="s">
        <v>11</v>
      </c>
      <c r="E2" s="3" t="s">
        <v>191</v>
      </c>
    </row>
    <row r="3" customFormat="false" ht="15" hidden="false" customHeight="true" outlineLevel="0" collapsed="false">
      <c r="A3" s="38" t="s">
        <v>192</v>
      </c>
      <c r="B3" s="39" t="n">
        <v>5</v>
      </c>
      <c r="C3" s="40" t="n">
        <v>261989</v>
      </c>
      <c r="D3" s="40" t="n">
        <v>39299</v>
      </c>
      <c r="E3" s="39" t="s">
        <v>193</v>
      </c>
    </row>
    <row r="4" customFormat="false" ht="15" hidden="false" customHeight="true" outlineLevel="0" collapsed="false">
      <c r="A4" s="41" t="s">
        <v>194</v>
      </c>
      <c r="B4" s="18" t="n">
        <v>5</v>
      </c>
      <c r="C4" s="19" t="n">
        <v>119889</v>
      </c>
      <c r="D4" s="19" t="n">
        <v>23987</v>
      </c>
      <c r="E4" s="20" t="n">
        <f aca="false">(C4-C3)/C3</f>
        <v>-0.542389184278729</v>
      </c>
    </row>
    <row r="5" customFormat="false" ht="15" hidden="false" customHeight="true" outlineLevel="0" collapsed="false">
      <c r="A5" s="38" t="s">
        <v>195</v>
      </c>
      <c r="B5" s="39" t="n">
        <v>5</v>
      </c>
      <c r="C5" s="40" t="n">
        <v>139934</v>
      </c>
      <c r="D5" s="40" t="n">
        <v>26543</v>
      </c>
      <c r="E5" s="42" t="n">
        <f aca="false">(C5-C4)/C4</f>
        <v>0.167196323265687</v>
      </c>
    </row>
    <row r="6" customFormat="false" ht="15" hidden="false" customHeight="true" outlineLevel="0" collapsed="false">
      <c r="A6" s="41" t="s">
        <v>196</v>
      </c>
      <c r="B6" s="18" t="n">
        <v>5</v>
      </c>
      <c r="C6" s="19" t="n">
        <v>97088</v>
      </c>
      <c r="D6" s="19" t="n">
        <v>21460</v>
      </c>
      <c r="E6" s="20" t="n">
        <f aca="false">(C6-C5)/C5</f>
        <v>-0.30618720253834</v>
      </c>
    </row>
    <row r="7" customFormat="false" ht="15" hidden="false" customHeight="true" outlineLevel="0" collapsed="false">
      <c r="A7" s="38" t="s">
        <v>197</v>
      </c>
      <c r="B7" s="39" t="n">
        <v>5</v>
      </c>
      <c r="C7" s="40" t="n">
        <v>82434</v>
      </c>
      <c r="D7" s="40" t="n">
        <v>18534</v>
      </c>
      <c r="E7" s="42" t="n">
        <f aca="false">(C7-C6)/C6</f>
        <v>-0.150935234014502</v>
      </c>
    </row>
    <row r="8" customFormat="false" ht="15" hidden="false" customHeight="true" outlineLevel="0" collapsed="false">
      <c r="A8" s="41" t="s">
        <v>198</v>
      </c>
      <c r="B8" s="18" t="n">
        <v>5</v>
      </c>
      <c r="C8" s="19" t="n">
        <v>113876</v>
      </c>
      <c r="D8" s="19" t="n">
        <v>24788</v>
      </c>
      <c r="E8" s="20" t="n">
        <f aca="false">(C8-C7)/C7</f>
        <v>0.381420287745348</v>
      </c>
    </row>
    <row r="9" customFormat="false" ht="15" hidden="false" customHeight="true" outlineLevel="0" collapsed="false">
      <c r="A9" s="35" t="s">
        <v>199</v>
      </c>
      <c r="B9" s="35" t="n">
        <f aca="false">SUM(B3:B8)</f>
        <v>30</v>
      </c>
      <c r="C9" s="15" t="n">
        <f aca="false">SUM(C3:C8)</f>
        <v>815210</v>
      </c>
      <c r="D9" s="15" t="n">
        <f aca="false">SUM(D3:D8)</f>
        <v>154611</v>
      </c>
      <c r="E9" s="35" t="s">
        <v>200</v>
      </c>
    </row>
    <row r="11" customFormat="false" ht="24" hidden="false" customHeight="true" outlineLevel="0" collapsed="false">
      <c r="A11" s="37" t="s">
        <v>201</v>
      </c>
      <c r="B11" s="37"/>
      <c r="C11" s="37"/>
      <c r="D11" s="37"/>
      <c r="E11" s="37"/>
    </row>
  </sheetData>
  <mergeCells count="2">
    <mergeCell ref="A1:E1"/>
    <mergeCell ref="A11:E11"/>
  </mergeCells>
  <conditionalFormatting sqref="E4:E8">
    <cfRule type="colorScale" priority="2">
      <colorScale>
        <cfvo type="min" val="0"/>
        <cfvo type="max" val="0"/>
        <color rgb="FFFF6666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5" min="2" style="1" width="10"/>
    <col collapsed="false" customWidth="true" hidden="false" outlineLevel="0" max="6" min="6" style="1" width="14"/>
  </cols>
  <sheetData>
    <row r="1" customFormat="false" ht="31.5" hidden="false" customHeight="true" outlineLevel="0" collapsed="false">
      <c r="A1" s="16" t="s">
        <v>202</v>
      </c>
      <c r="B1" s="16"/>
      <c r="C1" s="16"/>
      <c r="D1" s="16"/>
      <c r="E1" s="16"/>
      <c r="F1" s="16"/>
    </row>
    <row r="3" customFormat="false" ht="24" hidden="false" customHeight="true" outlineLevel="0" collapsed="false">
      <c r="A3" s="43" t="s">
        <v>203</v>
      </c>
      <c r="B3" s="43"/>
      <c r="C3" s="43"/>
      <c r="D3" s="43"/>
      <c r="E3" s="43"/>
      <c r="F3" s="43"/>
    </row>
    <row r="4" customFormat="false" ht="15" hidden="false" customHeight="true" outlineLevel="0" collapsed="false">
      <c r="A4" s="44" t="s">
        <v>204</v>
      </c>
      <c r="B4" s="44" t="s">
        <v>4</v>
      </c>
      <c r="C4" s="44" t="s">
        <v>205</v>
      </c>
      <c r="D4" s="44" t="s">
        <v>206</v>
      </c>
      <c r="E4" s="44" t="s">
        <v>207</v>
      </c>
      <c r="F4" s="44" t="s">
        <v>208</v>
      </c>
    </row>
    <row r="5" customFormat="false" ht="15" hidden="false" customHeight="true" outlineLevel="0" collapsed="false">
      <c r="A5" s="38" t="s">
        <v>209</v>
      </c>
      <c r="B5" s="38" t="s">
        <v>31</v>
      </c>
      <c r="C5" s="39" t="n">
        <v>88</v>
      </c>
      <c r="D5" s="39" t="n">
        <v>92</v>
      </c>
      <c r="E5" s="39" t="n">
        <v>78</v>
      </c>
      <c r="F5" s="45" t="n">
        <f aca="false">AVERAGE(C5:E5)</f>
        <v>86</v>
      </c>
    </row>
    <row r="6" customFormat="false" ht="15" hidden="false" customHeight="true" outlineLevel="0" collapsed="false">
      <c r="A6" s="46" t="s">
        <v>210</v>
      </c>
      <c r="B6" s="46" t="s">
        <v>56</v>
      </c>
      <c r="C6" s="47" t="n">
        <v>55</v>
      </c>
      <c r="D6" s="47" t="n">
        <v>62</v>
      </c>
      <c r="E6" s="47" t="n">
        <v>48</v>
      </c>
      <c r="F6" s="48" t="n">
        <f aca="false">AVERAGE(C6:E6)</f>
        <v>55</v>
      </c>
    </row>
    <row r="7" customFormat="false" ht="15" hidden="false" customHeight="true" outlineLevel="0" collapsed="false">
      <c r="A7" s="38" t="s">
        <v>211</v>
      </c>
      <c r="B7" s="38" t="s">
        <v>70</v>
      </c>
      <c r="C7" s="39" t="n">
        <v>76</v>
      </c>
      <c r="D7" s="39" t="n">
        <v>70</v>
      </c>
      <c r="E7" s="39" t="n">
        <v>82</v>
      </c>
      <c r="F7" s="45" t="n">
        <f aca="false">AVERAGE(C7:E7)</f>
        <v>76</v>
      </c>
    </row>
    <row r="8" customFormat="false" ht="15" hidden="false" customHeight="true" outlineLevel="0" collapsed="false">
      <c r="A8" s="46" t="s">
        <v>212</v>
      </c>
      <c r="B8" s="46" t="s">
        <v>159</v>
      </c>
      <c r="C8" s="47" t="n">
        <v>95</v>
      </c>
      <c r="D8" s="47" t="n">
        <v>98</v>
      </c>
      <c r="E8" s="47" t="n">
        <v>91</v>
      </c>
      <c r="F8" s="48" t="n">
        <f aca="false">AVERAGE(C8:E8)</f>
        <v>94.6666666666667</v>
      </c>
    </row>
    <row r="9" customFormat="false" ht="15" hidden="false" customHeight="true" outlineLevel="0" collapsed="false">
      <c r="A9" s="38" t="s">
        <v>213</v>
      </c>
      <c r="B9" s="38" t="s">
        <v>36</v>
      </c>
      <c r="C9" s="39" t="n">
        <v>42</v>
      </c>
      <c r="D9" s="39" t="n">
        <v>38</v>
      </c>
      <c r="E9" s="39" t="n">
        <v>55</v>
      </c>
      <c r="F9" s="45" t="n">
        <f aca="false">AVERAGE(C9:E9)</f>
        <v>45</v>
      </c>
    </row>
    <row r="10" customFormat="false" ht="15" hidden="false" customHeight="true" outlineLevel="0" collapsed="false">
      <c r="A10" s="46" t="s">
        <v>214</v>
      </c>
      <c r="B10" s="46" t="s">
        <v>43</v>
      </c>
      <c r="C10" s="47" t="n">
        <v>67</v>
      </c>
      <c r="D10" s="47" t="n">
        <v>71</v>
      </c>
      <c r="E10" s="47" t="n">
        <v>63</v>
      </c>
      <c r="F10" s="48" t="n">
        <f aca="false">AVERAGE(C10:E10)</f>
        <v>67</v>
      </c>
    </row>
    <row r="11" customFormat="false" ht="15" hidden="false" customHeight="true" outlineLevel="0" collapsed="false">
      <c r="A11" s="38" t="s">
        <v>215</v>
      </c>
      <c r="B11" s="38" t="s">
        <v>62</v>
      </c>
      <c r="C11" s="39" t="n">
        <v>83</v>
      </c>
      <c r="D11" s="39" t="n">
        <v>79</v>
      </c>
      <c r="E11" s="39" t="n">
        <v>88</v>
      </c>
      <c r="F11" s="45" t="n">
        <f aca="false">AVERAGE(C11:E11)</f>
        <v>83.3333333333333</v>
      </c>
    </row>
    <row r="12" customFormat="false" ht="15" hidden="false" customHeight="true" outlineLevel="0" collapsed="false">
      <c r="A12" s="46" t="s">
        <v>216</v>
      </c>
      <c r="B12" s="46" t="s">
        <v>147</v>
      </c>
      <c r="C12" s="47" t="n">
        <v>30</v>
      </c>
      <c r="D12" s="47" t="n">
        <v>45</v>
      </c>
      <c r="E12" s="47" t="n">
        <v>40</v>
      </c>
      <c r="F12" s="48" t="n">
        <f aca="false">AVERAGE(C12:E12)</f>
        <v>38.3333333333333</v>
      </c>
    </row>
    <row r="13" customFormat="false" ht="19.5" hidden="false" customHeight="true" outlineLevel="0" collapsed="false">
      <c r="A13" s="49" t="s">
        <v>217</v>
      </c>
      <c r="B13" s="49"/>
      <c r="C13" s="49"/>
      <c r="D13" s="49"/>
      <c r="E13" s="49"/>
      <c r="F13" s="49"/>
    </row>
    <row r="15" customFormat="false" ht="24" hidden="false" customHeight="true" outlineLevel="0" collapsed="false">
      <c r="A15" s="43" t="s">
        <v>218</v>
      </c>
      <c r="B15" s="43"/>
      <c r="C15" s="43"/>
      <c r="D15" s="43"/>
      <c r="E15" s="43"/>
      <c r="F15" s="43"/>
    </row>
    <row r="16" customFormat="false" ht="15" hidden="false" customHeight="true" outlineLevel="0" collapsed="false">
      <c r="A16" s="44" t="s">
        <v>7</v>
      </c>
      <c r="B16" s="44" t="s">
        <v>219</v>
      </c>
      <c r="C16" s="44" t="s">
        <v>220</v>
      </c>
      <c r="D16" s="44" t="s">
        <v>221</v>
      </c>
      <c r="E16" s="44" t="s">
        <v>222</v>
      </c>
      <c r="F16" s="44" t="s">
        <v>223</v>
      </c>
    </row>
    <row r="17" customFormat="false" ht="15" hidden="false" customHeight="true" outlineLevel="0" collapsed="false">
      <c r="A17" s="1" t="s">
        <v>19</v>
      </c>
      <c r="B17" s="50" t="n">
        <v>300</v>
      </c>
      <c r="C17" s="50" t="n">
        <v>280</v>
      </c>
      <c r="D17" s="50" t="n">
        <v>350</v>
      </c>
      <c r="E17" s="50" t="n">
        <v>420</v>
      </c>
      <c r="F17" s="50" t="n">
        <v>390</v>
      </c>
    </row>
    <row r="18" customFormat="false" ht="15" hidden="false" customHeight="true" outlineLevel="0" collapsed="false">
      <c r="A18" s="1" t="s">
        <v>32</v>
      </c>
      <c r="B18" s="50" t="n">
        <v>120</v>
      </c>
      <c r="C18" s="50" t="n">
        <v>140</v>
      </c>
      <c r="D18" s="50" t="n">
        <v>160</v>
      </c>
      <c r="E18" s="50" t="n">
        <v>130</v>
      </c>
      <c r="F18" s="50" t="n">
        <v>115</v>
      </c>
    </row>
    <row r="19" customFormat="false" ht="15" hidden="false" customHeight="true" outlineLevel="0" collapsed="false">
      <c r="A19" s="1" t="s">
        <v>71</v>
      </c>
      <c r="B19" s="50" t="n">
        <v>200</v>
      </c>
      <c r="C19" s="50" t="n">
        <v>175</v>
      </c>
      <c r="D19" s="50" t="n">
        <v>220</v>
      </c>
      <c r="E19" s="50" t="n">
        <v>190</v>
      </c>
      <c r="F19" s="50" t="n">
        <v>210</v>
      </c>
    </row>
    <row r="20" customFormat="false" ht="15" hidden="false" customHeight="true" outlineLevel="0" collapsed="false">
      <c r="A20" s="1" t="s">
        <v>52</v>
      </c>
      <c r="B20" s="50" t="n">
        <v>450</v>
      </c>
      <c r="C20" s="50" t="n">
        <v>500</v>
      </c>
      <c r="D20" s="50" t="n">
        <v>480</v>
      </c>
      <c r="E20" s="50" t="n">
        <v>520</v>
      </c>
      <c r="F20" s="50" t="n">
        <v>490</v>
      </c>
    </row>
    <row r="21" customFormat="false" ht="15" hidden="false" customHeight="true" outlineLevel="0" collapsed="false">
      <c r="A21" s="1" t="s">
        <v>224</v>
      </c>
      <c r="B21" s="50" t="n">
        <v>180</v>
      </c>
      <c r="C21" s="50" t="n">
        <v>200</v>
      </c>
      <c r="D21" s="50" t="n">
        <v>195</v>
      </c>
      <c r="E21" s="50" t="n">
        <v>210</v>
      </c>
      <c r="F21" s="50" t="n">
        <v>175</v>
      </c>
    </row>
    <row r="22" customFormat="false" ht="19.5" hidden="false" customHeight="true" outlineLevel="0" collapsed="false">
      <c r="A22" s="49" t="s">
        <v>225</v>
      </c>
      <c r="B22" s="49"/>
      <c r="C22" s="49"/>
      <c r="D22" s="49"/>
      <c r="E22" s="49"/>
      <c r="F22" s="49"/>
    </row>
  </sheetData>
  <mergeCells count="5">
    <mergeCell ref="A1:F1"/>
    <mergeCell ref="A3:F3"/>
    <mergeCell ref="A13:F13"/>
    <mergeCell ref="A15:F15"/>
    <mergeCell ref="A22:F22"/>
  </mergeCells>
  <conditionalFormatting sqref="F5:F12">
    <cfRule type="cellIs" priority="2" operator="greaterThanOrEqual" aboveAverage="0" equalAverage="0" bottom="0" percent="0" rank="0" text="" dxfId="0">
      <formula>75</formula>
    </cfRule>
    <cfRule type="cellIs" priority="3" operator="between" aboveAverage="0" equalAverage="0" bottom="0" percent="0" rank="0" text="" dxfId="1">
      <formula>50</formula>
      <formula>74.9</formula>
    </cfRule>
    <cfRule type="cellIs" priority="4" operator="lessThan" aboveAverage="0" equalAverage="0" bottom="0" percent="0" rank="0" text="" dxfId="2">
      <formula>50</formula>
    </cfRule>
  </conditionalFormatting>
  <conditionalFormatting sqref="B17:F21">
    <cfRule type="colorScale" priority="5">
      <colorScale>
        <cfvo type="min" val="0"/>
        <cfvo type="percentile" val="50"/>
        <cfvo type="max" val="0"/>
        <color rgb="FFFFF2CC"/>
        <color rgb="FFFFAD00"/>
        <color rgb="FFFF44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4" min="4" style="1" width="38"/>
    <col collapsed="false" customWidth="true" hidden="false" outlineLevel="0" max="5" min="5" style="1" width="14"/>
  </cols>
  <sheetData>
    <row r="1" customFormat="false" ht="31.5" hidden="false" customHeight="true" outlineLevel="0" collapsed="false">
      <c r="A1" s="16" t="s">
        <v>226</v>
      </c>
      <c r="B1" s="16"/>
      <c r="C1" s="16"/>
      <c r="D1" s="16"/>
      <c r="E1" s="16"/>
    </row>
    <row r="2" customFormat="false" ht="15" hidden="false" customHeight="true" outlineLevel="0" collapsed="false">
      <c r="A2" s="3" t="s">
        <v>227</v>
      </c>
      <c r="B2" s="3" t="s">
        <v>228</v>
      </c>
      <c r="C2" s="3" t="s">
        <v>229</v>
      </c>
      <c r="D2" s="3" t="s">
        <v>230</v>
      </c>
      <c r="E2" s="3" t="s">
        <v>231</v>
      </c>
    </row>
    <row r="3" customFormat="false" ht="21.75" hidden="false" customHeight="true" outlineLevel="0" collapsed="false">
      <c r="A3" s="51" t="s">
        <v>232</v>
      </c>
      <c r="B3" s="52" t="s">
        <v>233</v>
      </c>
      <c r="C3" s="53" t="s">
        <v>234</v>
      </c>
      <c r="D3" s="54" t="s">
        <v>235</v>
      </c>
      <c r="E3" s="53" t="s">
        <v>236</v>
      </c>
    </row>
    <row r="4" customFormat="false" ht="21.75" hidden="false" customHeight="true" outlineLevel="0" collapsed="false">
      <c r="A4" s="55" t="s">
        <v>237</v>
      </c>
      <c r="B4" s="56" t="s">
        <v>238</v>
      </c>
      <c r="C4" s="57" t="s">
        <v>239</v>
      </c>
      <c r="D4" s="58" t="s">
        <v>240</v>
      </c>
      <c r="E4" s="57" t="s">
        <v>236</v>
      </c>
    </row>
    <row r="5" customFormat="false" ht="21.75" hidden="false" customHeight="true" outlineLevel="0" collapsed="false">
      <c r="A5" s="51" t="s">
        <v>241</v>
      </c>
      <c r="B5" s="52" t="s">
        <v>242</v>
      </c>
      <c r="C5" s="53" t="s">
        <v>243</v>
      </c>
      <c r="D5" s="54" t="s">
        <v>244</v>
      </c>
      <c r="E5" s="53" t="s">
        <v>236</v>
      </c>
    </row>
    <row r="6" customFormat="false" ht="21.75" hidden="false" customHeight="true" outlineLevel="0" collapsed="false">
      <c r="A6" s="55" t="s">
        <v>245</v>
      </c>
      <c r="B6" s="56" t="s">
        <v>246</v>
      </c>
      <c r="C6" s="57" t="s">
        <v>247</v>
      </c>
      <c r="D6" s="58" t="s">
        <v>248</v>
      </c>
      <c r="E6" s="57" t="s">
        <v>236</v>
      </c>
    </row>
    <row r="7" customFormat="false" ht="21.75" hidden="false" customHeight="true" outlineLevel="0" collapsed="false">
      <c r="A7" s="51" t="s">
        <v>249</v>
      </c>
      <c r="B7" s="52" t="s">
        <v>250</v>
      </c>
      <c r="C7" s="53" t="s">
        <v>251</v>
      </c>
      <c r="D7" s="54" t="s">
        <v>252</v>
      </c>
      <c r="E7" s="53" t="s">
        <v>236</v>
      </c>
    </row>
    <row r="8" customFormat="false" ht="21.75" hidden="false" customHeight="true" outlineLevel="0" collapsed="false">
      <c r="A8" s="55" t="s">
        <v>253</v>
      </c>
      <c r="B8" s="56" t="s">
        <v>254</v>
      </c>
      <c r="C8" s="57" t="s">
        <v>255</v>
      </c>
      <c r="D8" s="58" t="s">
        <v>256</v>
      </c>
      <c r="E8" s="57" t="s">
        <v>236</v>
      </c>
    </row>
    <row r="9" customFormat="false" ht="21.75" hidden="false" customHeight="true" outlineLevel="0" collapsed="false">
      <c r="A9" s="51" t="s">
        <v>257</v>
      </c>
      <c r="B9" s="52" t="s">
        <v>258</v>
      </c>
      <c r="C9" s="53" t="s">
        <v>259</v>
      </c>
      <c r="D9" s="54" t="s">
        <v>260</v>
      </c>
      <c r="E9" s="53" t="s">
        <v>261</v>
      </c>
    </row>
    <row r="10" customFormat="false" ht="21.75" hidden="false" customHeight="true" outlineLevel="0" collapsed="false">
      <c r="A10" s="55" t="s">
        <v>262</v>
      </c>
      <c r="B10" s="56" t="s">
        <v>263</v>
      </c>
      <c r="C10" s="57" t="s">
        <v>264</v>
      </c>
      <c r="D10" s="58" t="s">
        <v>265</v>
      </c>
      <c r="E10" s="57" t="s">
        <v>236</v>
      </c>
    </row>
    <row r="11" customFormat="false" ht="21.75" hidden="false" customHeight="true" outlineLevel="0" collapsed="false">
      <c r="A11" s="51" t="s">
        <v>266</v>
      </c>
      <c r="B11" s="52" t="s">
        <v>267</v>
      </c>
      <c r="C11" s="53" t="s">
        <v>268</v>
      </c>
      <c r="D11" s="54" t="s">
        <v>269</v>
      </c>
      <c r="E11" s="53" t="s">
        <v>236</v>
      </c>
    </row>
    <row r="12" customFormat="false" ht="21.75" hidden="false" customHeight="true" outlineLevel="0" collapsed="false">
      <c r="A12" s="55" t="s">
        <v>270</v>
      </c>
      <c r="B12" s="56" t="s">
        <v>271</v>
      </c>
      <c r="C12" s="57" t="s">
        <v>272</v>
      </c>
      <c r="D12" s="58" t="s">
        <v>273</v>
      </c>
      <c r="E12" s="57" t="s">
        <v>274</v>
      </c>
    </row>
    <row r="13" customFormat="false" ht="21.75" hidden="false" customHeight="true" outlineLevel="0" collapsed="false">
      <c r="A13" s="51" t="s">
        <v>275</v>
      </c>
      <c r="B13" s="52" t="s">
        <v>276</v>
      </c>
      <c r="C13" s="53" t="s">
        <v>277</v>
      </c>
      <c r="D13" s="54" t="s">
        <v>278</v>
      </c>
      <c r="E13" s="53" t="s">
        <v>279</v>
      </c>
    </row>
    <row r="14" customFormat="false" ht="21.75" hidden="false" customHeight="true" outlineLevel="0" collapsed="false">
      <c r="A14" s="55" t="s">
        <v>280</v>
      </c>
      <c r="B14" s="56" t="s">
        <v>281</v>
      </c>
      <c r="C14" s="57" t="s">
        <v>282</v>
      </c>
      <c r="D14" s="58" t="s">
        <v>283</v>
      </c>
      <c r="E14" s="57" t="s">
        <v>236</v>
      </c>
    </row>
    <row r="15" customFormat="false" ht="21.75" hidden="false" customHeight="true" outlineLevel="0" collapsed="false">
      <c r="A15" s="51" t="s">
        <v>284</v>
      </c>
      <c r="B15" s="52" t="s">
        <v>285</v>
      </c>
      <c r="C15" s="53" t="s">
        <v>286</v>
      </c>
      <c r="D15" s="54" t="s">
        <v>287</v>
      </c>
      <c r="E15" s="53" t="s">
        <v>279</v>
      </c>
    </row>
    <row r="16" customFormat="false" ht="21.75" hidden="false" customHeight="true" outlineLevel="0" collapsed="false">
      <c r="A16" s="55" t="s">
        <v>288</v>
      </c>
      <c r="B16" s="56" t="s">
        <v>289</v>
      </c>
      <c r="C16" s="57" t="s">
        <v>290</v>
      </c>
      <c r="D16" s="58" t="s">
        <v>291</v>
      </c>
      <c r="E16" s="57" t="s">
        <v>279</v>
      </c>
    </row>
    <row r="17" customFormat="false" ht="21.75" hidden="false" customHeight="true" outlineLevel="0" collapsed="false">
      <c r="A17" s="51" t="s">
        <v>292</v>
      </c>
      <c r="B17" s="52" t="s">
        <v>293</v>
      </c>
      <c r="C17" s="53" t="s">
        <v>294</v>
      </c>
      <c r="D17" s="54" t="s">
        <v>295</v>
      </c>
      <c r="E17" s="53" t="s">
        <v>236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4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14"/>
    <col collapsed="false" customWidth="true" hidden="false" outlineLevel="0" max="10" min="10" style="1" width="12"/>
  </cols>
  <sheetData>
    <row r="1" customFormat="false" ht="39.75" hidden="false" customHeight="true" outlineLevel="0" collapsed="false">
      <c r="A1" s="2" t="s">
        <v>296</v>
      </c>
      <c r="B1" s="2"/>
      <c r="C1" s="2"/>
      <c r="D1" s="2"/>
      <c r="E1" s="2"/>
      <c r="F1" s="2"/>
      <c r="G1" s="2"/>
      <c r="H1" s="2"/>
    </row>
    <row r="3" customFormat="false" ht="21.75" hidden="false" customHeight="true" outlineLevel="0" collapsed="false">
      <c r="A3" s="59" t="s">
        <v>297</v>
      </c>
      <c r="B3" s="59"/>
      <c r="C3" s="60" t="s">
        <v>298</v>
      </c>
      <c r="D3" s="60"/>
      <c r="E3" s="61" t="s">
        <v>299</v>
      </c>
      <c r="F3" s="61"/>
      <c r="G3" s="62" t="s">
        <v>300</v>
      </c>
      <c r="H3" s="62"/>
    </row>
    <row r="4" customFormat="false" ht="37.5" hidden="false" customHeight="true" outlineLevel="0" collapsed="false">
      <c r="A4" s="63" t="s">
        <v>301</v>
      </c>
      <c r="B4" s="63"/>
      <c r="C4" s="64" t="s">
        <v>302</v>
      </c>
      <c r="D4" s="64"/>
      <c r="E4" s="65" t="s">
        <v>18</v>
      </c>
      <c r="F4" s="65"/>
      <c r="G4" s="66" t="s">
        <v>303</v>
      </c>
      <c r="H4" s="66"/>
    </row>
    <row r="5" customFormat="false" ht="21.75" hidden="false" customHeight="true" outlineLevel="0" collapsed="false">
      <c r="A5" s="67"/>
      <c r="B5" s="67"/>
      <c r="C5" s="68"/>
      <c r="D5" s="68"/>
      <c r="E5" s="69"/>
      <c r="F5" s="69"/>
      <c r="G5" s="70"/>
      <c r="H5" s="70"/>
    </row>
    <row r="7" customFormat="false" ht="24" hidden="false" customHeight="true" outlineLevel="0" collapsed="false">
      <c r="A7" s="43" t="s">
        <v>304</v>
      </c>
      <c r="B7" s="43"/>
      <c r="C7" s="43"/>
      <c r="D7" s="43"/>
      <c r="E7" s="43"/>
      <c r="G7" s="43" t="s">
        <v>305</v>
      </c>
      <c r="H7" s="43"/>
      <c r="I7" s="43"/>
      <c r="J7" s="43"/>
    </row>
    <row r="8" customFormat="false" ht="15" hidden="false" customHeight="true" outlineLevel="0" collapsed="false">
      <c r="A8" s="44" t="s">
        <v>306</v>
      </c>
      <c r="B8" s="44" t="s">
        <v>7</v>
      </c>
      <c r="C8" s="44" t="s">
        <v>6</v>
      </c>
      <c r="D8" s="44" t="s">
        <v>190</v>
      </c>
      <c r="E8" s="44" t="s">
        <v>307</v>
      </c>
      <c r="G8" s="44" t="s">
        <v>5</v>
      </c>
      <c r="H8" s="44" t="s">
        <v>189</v>
      </c>
      <c r="I8" s="44" t="s">
        <v>190</v>
      </c>
      <c r="J8" s="44" t="s">
        <v>308</v>
      </c>
    </row>
    <row r="9" customFormat="false" ht="15" hidden="false" customHeight="true" outlineLevel="0" collapsed="false">
      <c r="A9" s="71" t="s">
        <v>309</v>
      </c>
      <c r="B9" s="72" t="s">
        <v>32</v>
      </c>
      <c r="C9" s="73" t="s">
        <v>18</v>
      </c>
      <c r="D9" s="73" t="s">
        <v>310</v>
      </c>
      <c r="E9" s="73" t="s">
        <v>311</v>
      </c>
      <c r="G9" s="38" t="s">
        <v>17</v>
      </c>
      <c r="H9" s="39" t="n">
        <v>4</v>
      </c>
      <c r="I9" s="39" t="s">
        <v>312</v>
      </c>
      <c r="J9" s="39" t="s">
        <v>313</v>
      </c>
    </row>
    <row r="10" customFormat="false" ht="15" hidden="false" customHeight="true" outlineLevel="0" collapsed="false">
      <c r="A10" s="74" t="s">
        <v>314</v>
      </c>
      <c r="B10" s="75" t="s">
        <v>160</v>
      </c>
      <c r="C10" s="47" t="s">
        <v>18</v>
      </c>
      <c r="D10" s="47" t="s">
        <v>315</v>
      </c>
      <c r="E10" s="47" t="s">
        <v>316</v>
      </c>
      <c r="G10" s="41" t="s">
        <v>51</v>
      </c>
      <c r="H10" s="18" t="n">
        <v>4</v>
      </c>
      <c r="I10" s="18" t="s">
        <v>317</v>
      </c>
      <c r="J10" s="18" t="s">
        <v>313</v>
      </c>
    </row>
    <row r="11" customFormat="false" ht="15" hidden="false" customHeight="true" outlineLevel="0" collapsed="false">
      <c r="A11" s="76" t="s">
        <v>318</v>
      </c>
      <c r="B11" s="77" t="s">
        <v>19</v>
      </c>
      <c r="C11" s="78" t="s">
        <v>18</v>
      </c>
      <c r="D11" s="78" t="s">
        <v>319</v>
      </c>
      <c r="E11" s="78" t="s">
        <v>320</v>
      </c>
      <c r="G11" s="38" t="s">
        <v>96</v>
      </c>
      <c r="H11" s="39" t="n">
        <v>3</v>
      </c>
      <c r="I11" s="39" t="s">
        <v>321</v>
      </c>
      <c r="J11" s="39" t="s">
        <v>322</v>
      </c>
    </row>
    <row r="12" customFormat="false" ht="15" hidden="false" customHeight="true" outlineLevel="0" collapsed="false">
      <c r="A12" s="79" t="s">
        <v>323</v>
      </c>
      <c r="B12" s="80" t="s">
        <v>143</v>
      </c>
      <c r="C12" s="39" t="s">
        <v>38</v>
      </c>
      <c r="D12" s="39" t="s">
        <v>324</v>
      </c>
      <c r="E12" s="39" t="s">
        <v>325</v>
      </c>
      <c r="G12" s="41" t="s">
        <v>57</v>
      </c>
      <c r="H12" s="18" t="n">
        <v>3</v>
      </c>
      <c r="I12" s="18" t="s">
        <v>326</v>
      </c>
      <c r="J12" s="18" t="s">
        <v>313</v>
      </c>
    </row>
    <row r="13" customFormat="false" ht="15" hidden="false" customHeight="true" outlineLevel="0" collapsed="false">
      <c r="A13" s="74" t="s">
        <v>327</v>
      </c>
      <c r="B13" s="75" t="s">
        <v>90</v>
      </c>
      <c r="C13" s="47" t="s">
        <v>18</v>
      </c>
      <c r="D13" s="47" t="s">
        <v>328</v>
      </c>
      <c r="E13" s="47" t="s">
        <v>329</v>
      </c>
      <c r="G13" s="38" t="s">
        <v>44</v>
      </c>
      <c r="H13" s="39" t="n">
        <v>2</v>
      </c>
      <c r="I13" s="39" t="s">
        <v>330</v>
      </c>
      <c r="J13" s="39" t="s">
        <v>322</v>
      </c>
    </row>
    <row r="15" customFormat="false" ht="27.75" hidden="false" customHeight="true" outlineLevel="0" collapsed="false">
      <c r="A15" s="81" t="s">
        <v>331</v>
      </c>
      <c r="B15" s="81"/>
      <c r="C15" s="81"/>
      <c r="D15" s="81"/>
      <c r="E15" s="81"/>
      <c r="F15" s="81"/>
      <c r="G15" s="81"/>
      <c r="H15" s="81"/>
      <c r="I15" s="81"/>
      <c r="J15" s="81"/>
    </row>
  </sheetData>
  <mergeCells count="16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5:B5"/>
    <mergeCell ref="C5:D5"/>
    <mergeCell ref="E5:F5"/>
    <mergeCell ref="G5:H5"/>
    <mergeCell ref="A7:E7"/>
    <mergeCell ref="G7:J7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2"/>
    <col collapsed="false" customWidth="true" hidden="false" outlineLevel="0" max="4" min="3" style="1" width="38"/>
  </cols>
  <sheetData>
    <row r="1" customFormat="false" ht="34.5" hidden="false" customHeight="true" outlineLevel="0" collapsed="false">
      <c r="A1" s="16" t="s">
        <v>332</v>
      </c>
      <c r="B1" s="16"/>
      <c r="C1" s="16"/>
      <c r="D1" s="16"/>
    </row>
    <row r="3" customFormat="false" ht="39.75" hidden="false" customHeight="true" outlineLevel="0" collapsed="false">
      <c r="A3" s="82" t="s">
        <v>333</v>
      </c>
      <c r="B3" s="82" t="s">
        <v>334</v>
      </c>
      <c r="C3" s="82" t="s">
        <v>335</v>
      </c>
      <c r="D3" s="82" t="s">
        <v>336</v>
      </c>
    </row>
    <row r="4" customFormat="false" ht="39.75" hidden="false" customHeight="true" outlineLevel="0" collapsed="false">
      <c r="A4" s="57" t="s">
        <v>337</v>
      </c>
      <c r="B4" s="57" t="s">
        <v>338</v>
      </c>
      <c r="C4" s="57" t="s">
        <v>339</v>
      </c>
      <c r="D4" s="57" t="s">
        <v>340</v>
      </c>
    </row>
    <row r="5" customFormat="false" ht="39.75" hidden="false" customHeight="true" outlineLevel="0" collapsed="false">
      <c r="A5" s="53" t="s">
        <v>341</v>
      </c>
      <c r="B5" s="53" t="s">
        <v>342</v>
      </c>
      <c r="C5" s="53" t="s">
        <v>343</v>
      </c>
      <c r="D5" s="53" t="s">
        <v>344</v>
      </c>
    </row>
    <row r="6" customFormat="false" ht="39.75" hidden="false" customHeight="true" outlineLevel="0" collapsed="false">
      <c r="A6" s="57" t="s">
        <v>345</v>
      </c>
      <c r="B6" s="57" t="s">
        <v>346</v>
      </c>
      <c r="C6" s="57" t="s">
        <v>347</v>
      </c>
      <c r="D6" s="57" t="s">
        <v>348</v>
      </c>
    </row>
    <row r="7" customFormat="false" ht="39.75" hidden="false" customHeight="true" outlineLevel="0" collapsed="false">
      <c r="A7" s="53" t="s">
        <v>349</v>
      </c>
      <c r="B7" s="53" t="s">
        <v>350</v>
      </c>
      <c r="C7" s="53" t="s">
        <v>351</v>
      </c>
      <c r="D7" s="53" t="s">
        <v>352</v>
      </c>
    </row>
    <row r="8" customFormat="false" ht="39.75" hidden="false" customHeight="true" outlineLevel="0" collapsed="false">
      <c r="A8" s="57" t="s">
        <v>353</v>
      </c>
      <c r="B8" s="57" t="s">
        <v>354</v>
      </c>
      <c r="C8" s="57" t="s">
        <v>355</v>
      </c>
      <c r="D8" s="57" t="s">
        <v>356</v>
      </c>
    </row>
    <row r="9" customFormat="false" ht="39.75" hidden="false" customHeight="true" outlineLevel="0" collapsed="false">
      <c r="A9" s="53" t="s">
        <v>357</v>
      </c>
      <c r="B9" s="53" t="s">
        <v>358</v>
      </c>
      <c r="C9" s="53" t="s">
        <v>359</v>
      </c>
      <c r="D9" s="53" t="s">
        <v>360</v>
      </c>
    </row>
    <row r="11" customFormat="false" ht="27.75" hidden="false" customHeight="true" outlineLevel="0" collapsed="false">
      <c r="A11" s="83" t="s">
        <v>361</v>
      </c>
      <c r="B11" s="83"/>
      <c r="C11" s="83"/>
      <c r="D11" s="83"/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2026-05-23T02:11:23Z</dcterms:created>
  <dc:creator>openpyxl</dc:creator>
  <dc:description/>
  <dc:language>en-US</dc:language>
  <cp:lastModifiedBy/>
  <dcterms:modified xsi:type="dcterms:W3CDTF">2026-05-23T02:12:18Z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